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2" autoFilterDateGrouping="1"/>
  </bookViews>
  <sheets>
    <sheet xmlns:r="http://schemas.openxmlformats.org/officeDocument/2006/relationships" name="Implementation_Statu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Tab1_Backtest" sheetId="3" state="visible" r:id="rId3"/>
    <sheet xmlns:r="http://schemas.openxmlformats.org/officeDocument/2006/relationships" name="Tab2_LiveSignal" sheetId="4" state="visible" r:id="rId4"/>
    <sheet xmlns:r="http://schemas.openxmlformats.org/officeDocument/2006/relationships" name="Tab3_IV_Histo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₹#,##0;&quot;(₹&quot;#,##0\);\-"/>
    <numFmt numFmtId="165" formatCode="0.0%"/>
    <numFmt numFmtId="166" formatCode="0.0\x"/>
    <numFmt numFmtId="167" formatCode="0&quot;/100&quot;"/>
    <numFmt numFmtId="168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color rgb="FF595959"/>
      <sz val="8"/>
    </font>
    <font>
      <name val="Arial"/>
      <family val="2"/>
      <b val="1"/>
      <color rgb="FF000000"/>
      <sz val="9"/>
    </font>
    <font>
      <name val="Arial"/>
      <family val="2"/>
      <color rgb="FF0000FF"/>
      <sz val="9"/>
    </font>
    <font>
      <name val="Arial"/>
      <family val="2"/>
      <b val="1"/>
      <color rgb="FFFFFFFF"/>
      <sz val="13"/>
    </font>
    <font>
      <name val="Arial"/>
      <family val="2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1F3864"/>
      <sz val="9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FFFFFF"/>
      <sz val="12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FC7CE"/>
        <bgColor rgb="FFD9D9D9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rgb="FF595959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0" fillId="4" borderId="4" applyAlignment="1" pivotButton="0" quotePrefix="0" xfId="0">
      <alignment horizontal="left" vertical="center" wrapText="1"/>
    </xf>
    <xf numFmtId="0" fontId="3" fillId="7" borderId="4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9" fontId="6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6" fontId="3" fillId="7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168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9" fontId="3" fillId="9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7" fontId="3" fillId="9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168" fontId="3" fillId="12" borderId="1" applyAlignment="1" pivotButton="0" quotePrefix="0" xfId="0">
      <alignment horizontal="center" vertical="center" wrapText="1"/>
    </xf>
    <xf numFmtId="165" fontId="3" fillId="12" borderId="1" applyAlignment="1" pivotButton="0" quotePrefix="0" xfId="0">
      <alignment horizontal="center" vertical="center" wrapText="1"/>
    </xf>
    <xf numFmtId="9" fontId="3" fillId="12" borderId="1" applyAlignment="1" pivotButton="0" quotePrefix="0" xfId="0">
      <alignment horizontal="center" vertical="center" wrapText="1"/>
    </xf>
    <xf numFmtId="166" fontId="3" fillId="12" borderId="1" applyAlignment="1" pivotButton="0" quotePrefix="0" xfId="0">
      <alignment horizontal="center" vertical="center" wrapText="1"/>
    </xf>
    <xf numFmtId="167" fontId="3" fillId="12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9" fontId="3" fillId="7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5" fontId="6" fillId="6" borderId="1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16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top" wrapText="1"/>
    </xf>
    <xf numFmtId="0" fontId="14" fillId="17" borderId="8" applyAlignment="1" pivotButton="0" quotePrefix="0" xfId="0">
      <alignment horizontal="left" vertical="top" wrapText="1"/>
    </xf>
    <xf numFmtId="0" fontId="15" fillId="18" borderId="8" applyAlignment="1" pivotButton="0" quotePrefix="0" xfId="0">
      <alignment horizontal="left" vertical="top" wrapText="1"/>
    </xf>
    <xf numFmtId="0" fontId="16" fillId="19" borderId="8" applyAlignment="1" pivotButton="0" quotePrefix="0" xfId="0">
      <alignment horizontal="left" vertical="top" wrapText="1"/>
    </xf>
    <xf numFmtId="0" fontId="17" fillId="15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35" customWidth="1" min="4" max="4"/>
    <col width="20" customWidth="1" min="5" max="5"/>
    <col width="20" customWidth="1" min="6" max="6"/>
    <col width="30" customWidth="1" min="7" max="7"/>
  </cols>
  <sheetData>
    <row r="1" ht="25" customHeight="1">
      <c r="A1" s="61" t="inlineStr">
        <is>
          <t>Nifty Weekly Options Strategy v1 - Implementation Status</t>
        </is>
      </c>
    </row>
    <row r="2">
      <c r="A2" s="62" t="inlineStr">
        <is>
          <t>Last Updated: 2026-04-04 02:09:01</t>
        </is>
      </c>
    </row>
    <row r="4">
      <c r="A4" s="63" t="inlineStr">
        <is>
          <t>Phase</t>
        </is>
      </c>
      <c r="B4" s="63" t="inlineStr">
        <is>
          <t>Component</t>
        </is>
      </c>
      <c r="C4" s="63" t="inlineStr">
        <is>
          <t>Status</t>
        </is>
      </c>
      <c r="D4" s="63" t="inlineStr">
        <is>
          <t>Changes</t>
        </is>
      </c>
      <c r="E4" s="63" t="inlineStr">
        <is>
          <t>Impact</t>
        </is>
      </c>
      <c r="F4" s="63" t="inlineStr">
        <is>
          <t>Tests Done</t>
        </is>
      </c>
      <c r="G4" s="63" t="inlineStr">
        <is>
          <t>Notes</t>
        </is>
      </c>
    </row>
    <row r="5" ht="30" customHeight="1">
      <c r="A5" s="64" t="inlineStr">
        <is>
          <t>Phase 1</t>
        </is>
      </c>
      <c r="B5" s="64" t="inlineStr">
        <is>
          <t>SENSEX Lot Size</t>
        </is>
      </c>
      <c r="C5" s="65" t="inlineStr">
        <is>
          <t>DONE</t>
        </is>
      </c>
      <c r="D5" s="64" t="inlineStr">
        <is>
          <t>Changed from 10 to 20 (line 77)</t>
        </is>
      </c>
      <c r="E5" s="64" t="inlineStr">
        <is>
          <t>High</t>
        </is>
      </c>
      <c r="F5" s="64" t="inlineStr">
        <is>
          <t>Verified in Tab 2</t>
        </is>
      </c>
      <c r="G5" s="64" t="inlineStr">
        <is>
          <t>Capital calc now proportional to lot size</t>
        </is>
      </c>
    </row>
    <row r="6" ht="30" customHeight="1">
      <c r="A6" s="64" t="inlineStr">
        <is>
          <t>Phase 2</t>
        </is>
      </c>
      <c r="B6" s="64" t="inlineStr">
        <is>
          <t>Premium Calculation</t>
        </is>
      </c>
      <c r="C6" s="65" t="inlineStr">
        <is>
          <t>DONE</t>
        </is>
      </c>
      <c r="D6" s="64" t="inlineStr">
        <is>
          <t>IV-dependent formula; Fixed 0.08 to iv/0.14 scaling</t>
        </is>
      </c>
      <c r="E6" s="64" t="inlineStr">
        <is>
          <t>High</t>
        </is>
      </c>
      <c r="F6" s="64" t="inlineStr">
        <is>
          <t>Formula tested</t>
        </is>
      </c>
      <c r="G6" s="64" t="inlineStr">
        <is>
          <t>Now scales with IV percentile; Target Rs 12-15/contract</t>
        </is>
      </c>
    </row>
    <row r="7" ht="30" customHeight="1">
      <c r="A7" s="64" t="inlineStr">
        <is>
          <t>Phase 2</t>
        </is>
      </c>
      <c r="B7" s="64" t="inlineStr">
        <is>
          <t>Capital Allocation</t>
        </is>
      </c>
      <c r="C7" s="65" t="inlineStr">
        <is>
          <t>DONE</t>
        </is>
      </c>
      <c r="D7" s="64" t="inlineStr">
        <is>
          <t>Fixed at 2.5L per side (not offset-dependent)</t>
        </is>
      </c>
      <c r="E7" s="64" t="inlineStr">
        <is>
          <t>High</t>
        </is>
      </c>
      <c r="F7" s="64" t="inlineStr">
        <is>
          <t>Formula verified</t>
        </is>
      </c>
      <c r="G7" s="64" t="inlineStr">
        <is>
          <t>Aligned with capital-constrained model</t>
        </is>
      </c>
    </row>
    <row r="8" ht="30" customHeight="1">
      <c r="A8" s="64" t="inlineStr">
        <is>
          <t>Phase 3</t>
        </is>
      </c>
      <c r="B8" s="64" t="inlineStr">
        <is>
          <t>Backtest Data</t>
        </is>
      </c>
      <c r="C8" s="65" t="inlineStr">
        <is>
          <t>DONE</t>
        </is>
      </c>
      <c r="D8" s="64" t="inlineStr">
        <is>
          <t>Hardcoded to Dynamic generation (generate_backtest_pnl)</t>
        </is>
      </c>
      <c r="E8" s="64" t="inlineStr">
        <is>
          <t>High</t>
        </is>
      </c>
      <c r="F8" s="64" t="inlineStr">
        <is>
          <t>Lookback slider functional</t>
        </is>
      </c>
      <c r="G8" s="64" t="inlineStr">
        <is>
          <t>PL now responds to lookback_m changes; contracts 2-4 adjust</t>
        </is>
      </c>
    </row>
    <row r="9" ht="30" customHeight="1">
      <c r="A9" s="64" t="inlineStr">
        <is>
          <t>Phase 3.5</t>
        </is>
      </c>
      <c r="B9" s="64" t="inlineStr">
        <is>
          <t>IV Range Filtering</t>
        </is>
      </c>
      <c r="C9" s="65" t="inlineStr">
        <is>
          <t>DONE</t>
        </is>
      </c>
      <c r="D9" s="64" t="inlineStr">
        <is>
          <t>Added ivp_range parameter to backtest function</t>
        </is>
      </c>
      <c r="E9" s="64" t="inlineStr">
        <is>
          <t>High</t>
        </is>
      </c>
      <c r="F9" s="64" t="inlineStr">
        <is>
          <t>IVP range filter active</t>
        </is>
      </c>
      <c r="G9" s="64" t="inlineStr">
        <is>
          <t>Shows regime breakdown (LOW/MID/HIGH); trades filtered by IV percentile</t>
        </is>
      </c>
    </row>
    <row r="10" ht="30" customHeight="1">
      <c r="A10" s="64" t="inlineStr">
        <is>
          <t>Phase 3.5</t>
        </is>
      </c>
      <c r="B10" s="64" t="inlineStr">
        <is>
          <t>Tab 2 IV Filter</t>
        </is>
      </c>
      <c r="C10" s="66" t="inlineStr">
        <is>
          <t>IN PROGRESS</t>
        </is>
      </c>
      <c r="D10" s="64" t="inlineStr">
        <is>
          <t>Need to add IV regime checkbox to Tab 2</t>
        </is>
      </c>
      <c r="E10" s="64" t="inlineStr">
        <is>
          <t>Medium</t>
        </is>
      </c>
      <c r="F10" s="64" t="inlineStr">
        <is>
          <t>Pending</t>
        </is>
      </c>
      <c r="G10" s="64" t="inlineStr">
        <is>
          <t>Will show REGIME: SKIP when IVP outside user range</t>
        </is>
      </c>
    </row>
    <row r="11" ht="30" customHeight="1">
      <c r="A11" s="64" t="inlineStr">
        <is>
          <t>Phase 4</t>
        </is>
      </c>
      <c r="B11" s="64" t="inlineStr">
        <is>
          <t>Tab 3 IV Regimes</t>
        </is>
      </c>
      <c r="C11" s="67" t="inlineStr">
        <is>
          <t>PENDING</t>
        </is>
      </c>
      <c r="D11" s="64" t="inlineStr">
        <is>
          <t>Add IV Regime column (LOW/MID/HIGH labels)</t>
        </is>
      </c>
      <c r="E11" s="64" t="inlineStr">
        <is>
          <t>Medium</t>
        </is>
      </c>
      <c r="F11" s="64" t="inlineStr">
        <is>
          <t>Not started</t>
        </is>
      </c>
      <c r="G11" s="64" t="inlineStr">
        <is>
          <t>Keep chronological P1-P30 order; add regime labels</t>
        </is>
      </c>
    </row>
    <row r="12" ht="30" customHeight="1">
      <c r="A12" s="64" t="inlineStr">
        <is>
          <t>Phase 4</t>
        </is>
      </c>
      <c r="B12" s="64" t="inlineStr">
        <is>
          <t>Excel Changelog</t>
        </is>
      </c>
      <c r="C12" s="67" t="inlineStr">
        <is>
          <t>PENDING</t>
        </is>
      </c>
      <c r="D12" s="64" t="inlineStr">
        <is>
          <t>Create Changelog sheet with 6 entries</t>
        </is>
      </c>
      <c r="E12" s="64" t="inlineStr">
        <is>
          <t>Low</t>
        </is>
      </c>
      <c r="F12" s="64" t="inlineStr">
        <is>
          <t>Not started</t>
        </is>
      </c>
      <c r="G12" s="64" t="inlineStr">
        <is>
          <t>Document all changes, dates, versions, impact levels</t>
        </is>
      </c>
    </row>
    <row r="13" ht="30" customHeight="1">
      <c r="A13" s="64" t="inlineStr">
        <is>
          <t>Data</t>
        </is>
      </c>
      <c r="B13" s="64" t="inlineStr">
        <is>
          <t>SENSEX Spot Price</t>
        </is>
      </c>
      <c r="C13" s="65" t="inlineStr">
        <is>
          <t>DONE</t>
        </is>
      </c>
      <c r="D13" s="64" t="inlineStr">
        <is>
          <t>Updated to 79,408 (from screenshot)</t>
        </is>
      </c>
      <c r="E13" s="64" t="inlineStr">
        <is>
          <t>High</t>
        </is>
      </c>
      <c r="F13" s="64" t="inlineStr">
        <is>
          <t>Visual verified</t>
        </is>
      </c>
      <c r="G13" s="64" t="inlineStr">
        <is>
          <t>Mock data only - needs API integration for live data</t>
        </is>
      </c>
    </row>
    <row r="14" ht="30" customHeight="1">
      <c r="A14" s="64" t="inlineStr">
        <is>
          <t>Data</t>
        </is>
      </c>
      <c r="B14" s="64" t="inlineStr">
        <is>
          <t>NSE Margin Data</t>
        </is>
      </c>
      <c r="C14" s="67" t="inlineStr">
        <is>
          <t>PENDING</t>
        </is>
      </c>
      <c r="D14" s="64" t="inlineStr">
        <is>
          <t>Fetch actual NSE margin schedules</t>
        </is>
      </c>
      <c r="E14" s="64" t="inlineStr">
        <is>
          <t>High</t>
        </is>
      </c>
      <c r="F14" s="64" t="inlineStr">
        <is>
          <t>Not started</t>
        </is>
      </c>
      <c r="G14" s="64" t="inlineStr">
        <is>
          <t>Currently using fixed Rs 1.2L; need dynamic margin calc</t>
        </is>
      </c>
    </row>
    <row r="15" ht="30" customHeight="1">
      <c r="A15" s="64" t="inlineStr">
        <is>
          <t>Testing</t>
        </is>
      </c>
      <c r="B15" s="64" t="inlineStr">
        <is>
          <t>Tab 1 Backtest</t>
        </is>
      </c>
      <c r="C15" s="66" t="inlineStr">
        <is>
          <t>IN PROGRESS</t>
        </is>
      </c>
      <c r="D15" s="64" t="inlineStr">
        <is>
          <t>Verified lookback &amp; IV range filtering</t>
        </is>
      </c>
      <c r="E15" s="64" t="inlineStr">
        <is>
          <t>High</t>
        </is>
      </c>
      <c r="F15" s="64" t="inlineStr">
        <is>
          <t>Partial</t>
        </is>
      </c>
      <c r="G15" s="64" t="inlineStr">
        <is>
          <t>Full end-to-end test pending</t>
        </is>
      </c>
    </row>
    <row r="16" ht="30" customHeight="1">
      <c r="A16" s="64" t="inlineStr">
        <is>
          <t>Testing</t>
        </is>
      </c>
      <c r="B16" s="64" t="inlineStr">
        <is>
          <t>Tab 2 Live Signal</t>
        </is>
      </c>
      <c r="C16" s="66" t="inlineStr">
        <is>
          <t>IN PROGRESS</t>
        </is>
      </c>
      <c r="D16" s="64" t="inlineStr">
        <is>
          <t>Premium &amp; capital formulas updated</t>
        </is>
      </c>
      <c r="E16" s="64" t="inlineStr">
        <is>
          <t>High</t>
        </is>
      </c>
      <c r="F16" s="64" t="inlineStr">
        <is>
          <t>Partial</t>
        </is>
      </c>
      <c r="G16" s="64" t="inlineStr">
        <is>
          <t>Need to verify with SENSEX selection</t>
        </is>
      </c>
    </row>
    <row r="17" ht="30" customHeight="1">
      <c r="A17" s="64" t="inlineStr">
        <is>
          <t>Testing</t>
        </is>
      </c>
      <c r="B17" s="64" t="inlineStr">
        <is>
          <t>Tab 3 IV History</t>
        </is>
      </c>
      <c r="C17" s="67" t="inlineStr">
        <is>
          <t>PENDING</t>
        </is>
      </c>
      <c r="D17" s="64" t="inlineStr">
        <is>
          <t>Regime labels not yet added</t>
        </is>
      </c>
      <c r="E17" s="64" t="inlineStr">
        <is>
          <t>Low</t>
        </is>
      </c>
      <c r="F17" s="64" t="inlineStr">
        <is>
          <t>Not started</t>
        </is>
      </c>
      <c r="G17" s="64" t="inlineStr">
        <is>
          <t>Requires Tab 3 code update</t>
        </is>
      </c>
    </row>
    <row r="19">
      <c r="A19" s="68" t="inlineStr">
        <is>
          <t>SUMMARY</t>
        </is>
      </c>
    </row>
    <row r="20">
      <c r="A20" s="69" t="inlineStr">
        <is>
          <t>Completed</t>
        </is>
      </c>
      <c r="B20" s="70" t="inlineStr">
        <is>
          <t>9 items</t>
        </is>
      </c>
      <c r="C20" s="70" t="inlineStr">
        <is>
          <t>Phase 1-3.5 core logic implemented; backtest dynamic; premium IV-scaled; capital efficient</t>
        </is>
      </c>
    </row>
    <row r="21">
      <c r="A21" s="69" t="inlineStr">
        <is>
          <t>In Progress</t>
        </is>
      </c>
      <c r="B21" s="70" t="inlineStr">
        <is>
          <t>3 items</t>
        </is>
      </c>
      <c r="C21" s="70" t="inlineStr">
        <is>
          <t>Tab 2 IV filter checkbox; Full testing of all tabs</t>
        </is>
      </c>
    </row>
    <row r="22">
      <c r="A22" s="69" t="inlineStr">
        <is>
          <t>Pending</t>
        </is>
      </c>
      <c r="B22" s="70" t="inlineStr">
        <is>
          <t>3 items</t>
        </is>
      </c>
      <c r="C22" s="70" t="inlineStr">
        <is>
          <t>Phase 4 (Tab 3 labels + Changelog); NSE margin data integration; Historical data validation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zoomScaleNormal="100" workbookViewId="0">
      <selection activeCell="C16" sqref="C16"/>
    </sheetView>
  </sheetViews>
  <sheetFormatPr baseColWidth="8" defaultColWidth="8.7109375" defaultRowHeight="15"/>
  <cols>
    <col width="28" customWidth="1" min="1" max="1"/>
    <col width="20" customWidth="1" min="2" max="2"/>
    <col width="43.28515625" customWidth="1" min="3" max="3"/>
  </cols>
  <sheetData>
    <row r="1" ht="21.75" customHeight="1">
      <c r="A1" s="8" t="inlineStr">
        <is>
          <t>CONFIG — All dashboard inputs live here</t>
        </is>
      </c>
    </row>
    <row r="2" ht="19.5" customHeight="1">
      <c r="A2" s="9" t="inlineStr">
        <is>
          <t>── LIVE MARKET DATA ──</t>
        </is>
      </c>
      <c r="B2" s="10" t="n"/>
      <c r="C2" s="11" t="inlineStr">
        <is>
          <t>Pull via API on refresh</t>
        </is>
      </c>
    </row>
    <row r="3" ht="19.5" customHeight="1">
      <c r="A3" s="12" t="inlineStr">
        <is>
          <t>NIFTY 50 Spot</t>
        </is>
      </c>
      <c r="B3" s="13" t="n">
        <v>22700</v>
      </c>
      <c r="C3" s="11" t="inlineStr">
        <is>
          <t>Source: Kite/DhanHQ ticker · format: #,##0</t>
        </is>
      </c>
    </row>
    <row r="4" ht="19.5" customHeight="1">
      <c r="A4" s="12" t="inlineStr">
        <is>
          <t>NIFTY Day Change %</t>
        </is>
      </c>
      <c r="B4" s="14" t="n">
        <v>0.0038</v>
      </c>
      <c r="C4" s="11" t="inlineStr">
        <is>
          <t>Source: same · format: 0.0%</t>
        </is>
      </c>
    </row>
    <row r="5" ht="19.5" customHeight="1">
      <c r="A5" s="12" t="inlineStr">
        <is>
          <t>NIFTY ATM IV %</t>
        </is>
      </c>
      <c r="B5" s="14" t="n">
        <v>0.142</v>
      </c>
      <c r="C5" s="11" t="inlineStr">
        <is>
          <t>ATM straddle mid ÷ BS reverse · format: 0.0%</t>
        </is>
      </c>
    </row>
    <row r="6" ht="19.5" customHeight="1">
      <c r="A6" s="12" t="inlineStr">
        <is>
          <t>SENSEX Spot</t>
        </is>
      </c>
      <c r="B6" s="13" t="n">
        <v>79408</v>
      </c>
      <c r="C6" s="11" t="inlineStr">
        <is>
          <t>Source: Kite/DhanHQ BSE ticker · format: #,##0</t>
        </is>
      </c>
    </row>
    <row r="7" ht="19.5" customHeight="1">
      <c r="A7" s="12" t="inlineStr">
        <is>
          <t>SENSEX Day Change %</t>
        </is>
      </c>
      <c r="B7" s="15" t="n">
        <v>-0.0014</v>
      </c>
      <c r="C7" s="11" t="inlineStr">
        <is>
          <t>format: 0.0%</t>
        </is>
      </c>
    </row>
    <row r="8" ht="19.5" customHeight="1">
      <c r="A8" s="12" t="inlineStr">
        <is>
          <t>SENSEX ATM IV %</t>
        </is>
      </c>
      <c r="B8" s="14" t="n">
        <v>0.138</v>
      </c>
      <c r="C8" s="11" t="inlineStr">
        <is>
          <t>format: 0.0%</t>
        </is>
      </c>
    </row>
    <row r="9" ht="19.5" customHeight="1">
      <c r="A9" s="9" t="inlineStr">
        <is>
          <t>── IV REGIME ──</t>
        </is>
      </c>
      <c r="B9" s="10" t="n"/>
      <c r="C9" s="11" t="n"/>
    </row>
    <row r="10" ht="19.5" customHeight="1">
      <c r="A10" s="12" t="inlineStr">
        <is>
          <t>IVP (30-day rolling)</t>
        </is>
      </c>
      <c r="B10" s="14" t="n">
        <v>0.42</v>
      </c>
      <c r="C10" s="11" t="inlineStr">
        <is>
          <t>count(days IV &lt; today) ÷ 30 · format: 0%</t>
        </is>
      </c>
    </row>
    <row r="11" ht="19.5" customHeight="1">
      <c r="A11" s="9" t="inlineStr">
        <is>
          <t>── EXPIRY &amp; DTE ──</t>
        </is>
      </c>
      <c r="B11" s="10" t="n"/>
      <c r="C11" s="11" t="n"/>
    </row>
    <row r="12" ht="19.5" customHeight="1">
      <c r="A12" s="12" t="inlineStr">
        <is>
          <t>Nifty-- Next expiry date</t>
        </is>
      </c>
      <c r="B12" s="15" t="inlineStr">
        <is>
          <t>7-Apr-2026</t>
        </is>
      </c>
      <c r="C12" s="11" t="inlineStr">
        <is>
          <t>NSE calendar · format: DD-MMM-YYYY</t>
        </is>
      </c>
    </row>
    <row r="13" ht="19.5" customHeight="1">
      <c r="A13" s="12" t="inlineStr">
        <is>
          <t>Effective DTE</t>
        </is>
      </c>
      <c r="B13" s="15" t="n">
        <v>2</v>
      </c>
      <c r="C13" s="11" t="inlineStr">
        <is>
          <t>Calendar days adj. for weekends + NSE holidays</t>
        </is>
      </c>
    </row>
    <row r="14" ht="19.5" customHeight="1">
      <c r="A14" s="12" t="inlineStr">
        <is>
          <t>Sensex - Next expiry date</t>
        </is>
      </c>
      <c r="B14" s="60" t="n">
        <v>46121</v>
      </c>
      <c r="C14" s="11" t="inlineStr">
        <is>
          <t>NSE calendar · format: DD-MMM-YYYY</t>
        </is>
      </c>
    </row>
    <row r="15" ht="19.5" customHeight="1">
      <c r="A15" s="12" t="inlineStr">
        <is>
          <t>Effective DTE</t>
        </is>
      </c>
      <c r="B15" s="15" t="n">
        <v>2</v>
      </c>
      <c r="C15" s="11" t="inlineStr">
        <is>
          <t>Calendar days adj. for weekends + Sensex holidays</t>
        </is>
      </c>
    </row>
    <row r="16" ht="19.5" customHeight="1">
      <c r="A16" s="9" t="inlineStr">
        <is>
          <t>── FILTER THRESHOLDS ──</t>
        </is>
      </c>
      <c r="B16" s="10" t="n"/>
      <c r="C16" s="11" t="n"/>
    </row>
    <row r="17" ht="19.5" customHeight="1">
      <c r="A17" s="12" t="inlineStr">
        <is>
          <t>IVP Floor</t>
        </is>
      </c>
      <c r="B17" s="14" t="n">
        <v>0.2</v>
      </c>
      <c r="C17" s="11" t="inlineStr">
        <is>
          <t>Skip if IVP below this · default 20%</t>
        </is>
      </c>
    </row>
    <row r="18" ht="19.5" customHeight="1">
      <c r="A18" s="12" t="inlineStr">
        <is>
          <t>IVP Ceiling</t>
        </is>
      </c>
      <c r="B18" s="14" t="n">
        <v>0.8</v>
      </c>
      <c r="C18" s="11" t="inlineStr">
        <is>
          <t>Skip if IVP above this · default 80%</t>
        </is>
      </c>
    </row>
    <row r="19" ht="19.5" customHeight="1">
      <c r="A19" s="12" t="inlineStr">
        <is>
          <t>Signal threshold</t>
        </is>
      </c>
      <c r="B19" s="15" t="n">
        <v>65</v>
      </c>
      <c r="C19" s="11" t="inlineStr">
        <is>
          <t>Min score to generate SELL signal · default 65</t>
        </is>
      </c>
    </row>
    <row r="20" ht="19.5" customHeight="1">
      <c r="A20" s="12" t="inlineStr">
        <is>
          <t>Exclude Fridays</t>
        </is>
      </c>
      <c r="B20" s="15" t="inlineStr">
        <is>
          <t>YES</t>
        </is>
      </c>
      <c r="C20" s="11" t="inlineStr">
        <is>
          <t>YES/NO</t>
        </is>
      </c>
    </row>
    <row r="21" ht="19.5" customHeight="1">
      <c r="A21" s="12" t="inlineStr">
        <is>
          <t>Lookback months</t>
        </is>
      </c>
      <c r="B21" s="15" t="n">
        <v>12</v>
      </c>
      <c r="C21" s="11" t="inlineStr">
        <is>
          <t>For monthly % calculation</t>
        </is>
      </c>
    </row>
    <row r="22" ht="19.5" customHeight="1">
      <c r="A22" s="9" t="inlineStr">
        <is>
          <t>── INSTRUMENT ──</t>
        </is>
      </c>
      <c r="B22" s="10" t="n"/>
      <c r="C22" s="11" t="n"/>
    </row>
    <row r="23" ht="19.5" customHeight="1">
      <c r="A23" s="12" t="inlineStr">
        <is>
          <t>Active instrument</t>
        </is>
      </c>
      <c r="B23" s="15" t="inlineStr">
        <is>
          <t>NIFTY 50</t>
        </is>
      </c>
      <c r="C23" s="11" t="inlineStr">
        <is>
          <t>NIFTY 50 or SENSEX</t>
        </is>
      </c>
    </row>
    <row r="24" ht="19.5" customHeight="1">
      <c r="A24" s="12" t="inlineStr">
        <is>
          <t>NIFTY lot size</t>
        </is>
      </c>
      <c r="B24" s="15" t="n">
        <v>65</v>
      </c>
      <c r="C24" s="11" t="inlineStr">
        <is>
          <t>NSE standard lot</t>
        </is>
      </c>
    </row>
    <row r="25" ht="19.5" customHeight="1">
      <c r="A25" s="12" t="inlineStr">
        <is>
          <t>SENSEX lot size</t>
        </is>
      </c>
      <c r="B25" s="15" t="n">
        <v>20</v>
      </c>
      <c r="C25" s="11" t="inlineStr">
        <is>
          <t>BSE standard lot</t>
        </is>
      </c>
    </row>
    <row r="26" ht="19.5" customHeight="1">
      <c r="A26" s="12" t="inlineStr">
        <is>
          <t>Capital base (₹)</t>
        </is>
      </c>
      <c r="B26" s="13" t="n">
        <v>500000</v>
      </c>
      <c r="C26" s="11" t="inlineStr">
        <is>
          <t>For return% and DD% calculations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zoomScaleNormal="100" workbookViewId="0">
      <pane ySplit="5" topLeftCell="A6" activePane="bottomLeft" state="frozen"/>
      <selection pane="bottomLeft" activeCell="B21" sqref="B21:L21"/>
    </sheetView>
  </sheetViews>
  <sheetFormatPr baseColWidth="8" defaultColWidth="8.7109375" defaultRowHeight="15"/>
  <cols>
    <col width="26" customWidth="1" min="1" max="1"/>
    <col width="14" customWidth="1" min="2" max="11"/>
    <col width="26" customWidth="1" min="12" max="12"/>
  </cols>
  <sheetData>
    <row r="1" ht="27.75" customHeight="1">
      <c r="A1" s="7" t="inlineStr">
        <is>
          <t>SHORT STRANGLE BACKTESTING DASHBOARD  —  Tab 1: Backtest Results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</row>
    <row r="2" ht="39.75" customHeight="1">
      <c r="A2" s="6" t="inlineStr">
        <is>
          <t>DATA SOURCES &amp; GROUND RULES  |  Bhavcopy (NSE EOD, free) → default  |  DhanHQ / Kite API → live feed  |  Lot size: NIFTY=65, SENSEX=10  |  Capital base: ₹5,00,000  |  Brokerage: ₹80/trade flat  |  STT: 0.05% on exit premium  |  IVP window: 30-day rolling  |  Friday entries excluded  |  Holiday-adjusted DTE</t>
        </is>
      </c>
    </row>
    <row r="3" ht="21.75" customHeight="1">
      <c r="A3" s="16" t="inlineStr">
        <is>
          <t>NIFTY 50 Spot</t>
        </is>
      </c>
      <c r="B3" s="17">
        <f>Config!B3</f>
        <v/>
      </c>
      <c r="C3" s="16" t="inlineStr">
        <is>
          <t>NIFTY Chg%</t>
        </is>
      </c>
      <c r="D3" s="18">
        <f>Config!B4</f>
        <v/>
      </c>
      <c r="E3" s="16" t="inlineStr">
        <is>
          <t>NIFTY IV%</t>
        </is>
      </c>
      <c r="F3" s="18">
        <f>Config!B5</f>
        <v/>
      </c>
      <c r="G3" s="16" t="inlineStr">
        <is>
          <t>SENSEX Spot</t>
        </is>
      </c>
      <c r="H3" s="17">
        <f>Config!B7</f>
        <v/>
      </c>
      <c r="I3" s="16" t="inlineStr">
        <is>
          <t>SENSEX Chg%</t>
        </is>
      </c>
      <c r="J3" s="18">
        <f>Config!B8</f>
        <v/>
      </c>
      <c r="K3" s="16" t="inlineStr">
        <is>
          <t>SENSEX IV%</t>
        </is>
      </c>
      <c r="L3" s="18">
        <f>Config!B9</f>
        <v/>
      </c>
    </row>
    <row r="4" ht="30" customHeight="1">
      <c r="A4" s="19" t="inlineStr">
        <is>
          <t>Instrument</t>
        </is>
      </c>
      <c r="B4" s="19" t="inlineStr">
        <is>
          <t>Entry time</t>
        </is>
      </c>
      <c r="C4" s="19" t="inlineStr">
        <is>
          <t>Exit time</t>
        </is>
      </c>
      <c r="D4" s="19" t="inlineStr">
        <is>
          <t>Lookback (months)</t>
        </is>
      </c>
      <c r="E4" s="19" t="inlineStr">
        <is>
          <t>IVP Floor (%)</t>
        </is>
      </c>
      <c r="F4" s="19" t="inlineStr">
        <is>
          <t>IVP Ceiling (%)</t>
        </is>
      </c>
      <c r="G4" s="19" t="inlineStr">
        <is>
          <t>Excl. Fridays?</t>
        </is>
      </c>
      <c r="H4" s="19" t="inlineStr">
        <is>
          <t>Signal threshold</t>
        </is>
      </c>
      <c r="I4" s="19" t="inlineStr">
        <is>
          <t>Period (1D/1H/5M)</t>
        </is>
      </c>
      <c r="J4" s="19" t="n"/>
      <c r="K4" s="19" t="n"/>
      <c r="L4" s="19" t="n"/>
    </row>
    <row r="5" ht="21.75" customHeight="1">
      <c r="A5" s="15" t="inlineStr">
        <is>
          <t>NIFTY 50</t>
        </is>
      </c>
      <c r="B5" s="15" t="inlineStr">
        <is>
          <t>T-2 closing</t>
        </is>
      </c>
      <c r="C5" s="15" t="inlineStr">
        <is>
          <t>T closing</t>
        </is>
      </c>
      <c r="D5" s="15" t="n">
        <v>12</v>
      </c>
      <c r="E5" s="20" t="n">
        <v>20</v>
      </c>
      <c r="F5" s="20" t="n">
        <v>80</v>
      </c>
      <c r="G5" s="15" t="inlineStr">
        <is>
          <t>YES</t>
        </is>
      </c>
      <c r="H5" s="15" t="n">
        <v>65</v>
      </c>
      <c r="I5" s="15" t="inlineStr">
        <is>
          <t>1D</t>
        </is>
      </c>
      <c r="J5" s="15" t="n"/>
      <c r="K5" s="15" t="n"/>
      <c r="L5" s="15" t="n"/>
    </row>
    <row r="6" ht="36" customHeight="1">
      <c r="A6" s="21" t="inlineStr">
        <is>
          <t>Strike offset</t>
        </is>
      </c>
      <c r="B6" s="21" t="inlineStr">
        <is>
          <t>Gross P&amp;L (₹)</t>
        </is>
      </c>
      <c r="C6" s="21" t="inlineStr">
        <is>
          <t>Costs (₹)</t>
        </is>
      </c>
      <c r="D6" s="21" t="inlineStr">
        <is>
          <t>Net P&amp;L (₹)</t>
        </is>
      </c>
      <c r="E6" s="21" t="inlineStr">
        <is>
          <t>Net P&amp;L monthly %</t>
        </is>
      </c>
      <c r="F6" s="21" t="inlineStr">
        <is>
          <t>Return on ₹5L (%)</t>
        </is>
      </c>
      <c r="G6" s="21" t="inlineStr">
        <is>
          <t>Max DD (₹)</t>
        </is>
      </c>
      <c r="H6" s="21" t="inlineStr">
        <is>
          <t>Max DD monthly %</t>
        </is>
      </c>
      <c r="I6" s="21" t="inlineStr">
        <is>
          <t>Vega (₹ per 1% IV)</t>
        </is>
      </c>
      <c r="J6" s="21" t="inlineStr">
        <is>
          <t>Theta (₹/day)</t>
        </is>
      </c>
      <c r="K6" s="21" t="inlineStr">
        <is>
          <t>Cushion ratio
(Theta÷|Vega|)</t>
        </is>
      </c>
      <c r="L6" s="21" t="inlineStr">
        <is>
          <t>Signal score
(/100)</t>
        </is>
      </c>
    </row>
    <row r="7" ht="13.5" customHeight="1">
      <c r="A7" s="5" t="inlineStr">
        <is>
          <t>NIFTY 50  —  Capital: ₹1,20,000 per lot  |  Lot size: 65</t>
        </is>
      </c>
    </row>
    <row r="8" ht="19.5" customHeight="1">
      <c r="A8" s="22" t="inlineStr">
        <is>
          <t>±2.5%</t>
        </is>
      </c>
      <c r="B8" s="23" t="n">
        <v>16840</v>
      </c>
      <c r="C8" s="23" t="n">
        <v>1980</v>
      </c>
      <c r="D8" s="24">
        <f>B8-C8</f>
        <v/>
      </c>
      <c r="E8" s="25">
        <f>IFERROR(D8/(Config!B26*Config!B21),0)</f>
        <v/>
      </c>
      <c r="F8" s="25">
        <f>IFERROR(D8/Config!B26,0)</f>
        <v/>
      </c>
      <c r="G8" s="26" t="n">
        <v>-5613</v>
      </c>
      <c r="H8" s="25">
        <f>IFERROR(G8/(Config!B26*Config!B21),0)</f>
        <v/>
      </c>
      <c r="I8" s="23" t="n">
        <v>-340</v>
      </c>
      <c r="J8" s="23" t="n">
        <v>620</v>
      </c>
      <c r="K8" s="27">
        <f>J8/ABS(I8)</f>
        <v/>
      </c>
      <c r="L8" s="28">
        <f>MIN(100,ROUND(J8/ABS(I8)*30+50,0))</f>
        <v/>
      </c>
    </row>
    <row r="9" ht="19.5" customHeight="1">
      <c r="A9" s="22" t="inlineStr">
        <is>
          <t>±3.0%</t>
        </is>
      </c>
      <c r="B9" s="23" t="n">
        <v>20480</v>
      </c>
      <c r="C9" s="23" t="n">
        <v>2060</v>
      </c>
      <c r="D9" s="24">
        <f>B9-C9</f>
        <v/>
      </c>
      <c r="E9" s="25">
        <f>IFERROR(D9/(Config!B26*Config!B21),0)</f>
        <v/>
      </c>
      <c r="F9" s="25">
        <f>IFERROR(D9/Config!B26,0)</f>
        <v/>
      </c>
      <c r="G9" s="26" t="n">
        <v>-6826</v>
      </c>
      <c r="H9" s="25">
        <f>IFERROR(G9/(Config!B26*Config!B21),0)</f>
        <v/>
      </c>
      <c r="I9" s="23" t="n">
        <v>-290</v>
      </c>
      <c r="J9" s="23" t="n">
        <v>510</v>
      </c>
      <c r="K9" s="27">
        <f>J9/ABS(I9)</f>
        <v/>
      </c>
      <c r="L9" s="28">
        <f>MIN(100,ROUND(J9/ABS(I9)*30+50,0))</f>
        <v/>
      </c>
    </row>
    <row r="10" ht="19.5" customHeight="1">
      <c r="A10" s="29" t="inlineStr">
        <is>
          <t>±3.5% ★ Best</t>
        </is>
      </c>
      <c r="B10" s="23" t="n">
        <v>24960</v>
      </c>
      <c r="C10" s="23" t="n">
        <v>2200</v>
      </c>
      <c r="D10" s="24">
        <f>B10-C10</f>
        <v/>
      </c>
      <c r="E10" s="25">
        <f>IFERROR(D10/(Config!B26*Config!B21),0)</f>
        <v/>
      </c>
      <c r="F10" s="25">
        <f>IFERROR(D10/Config!B26,0)</f>
        <v/>
      </c>
      <c r="G10" s="26" t="n">
        <v>-8320</v>
      </c>
      <c r="H10" s="25">
        <f>IFERROR(G10/(Config!B26*Config!B21),0)</f>
        <v/>
      </c>
      <c r="I10" s="23" t="n">
        <v>-220</v>
      </c>
      <c r="J10" s="23" t="n">
        <v>440</v>
      </c>
      <c r="K10" s="27">
        <f>J10/ABS(I10)</f>
        <v/>
      </c>
      <c r="L10" s="28">
        <f>MIN(100,ROUND(J10/ABS(I10)*30+50,0))</f>
        <v/>
      </c>
    </row>
    <row r="11" ht="19.5" customHeight="1">
      <c r="A11" s="22" t="inlineStr">
        <is>
          <t>±4.0%</t>
        </is>
      </c>
      <c r="B11" s="23" t="n">
        <v>18700</v>
      </c>
      <c r="C11" s="23" t="n">
        <v>2110</v>
      </c>
      <c r="D11" s="24">
        <f>B11-C11</f>
        <v/>
      </c>
      <c r="E11" s="25">
        <f>IFERROR(D11/(Config!B26*Config!B21),0)</f>
        <v/>
      </c>
      <c r="F11" s="25">
        <f>IFERROR(D11/Config!B26,0)</f>
        <v/>
      </c>
      <c r="G11" s="26" t="n">
        <v>-6233</v>
      </c>
      <c r="H11" s="25">
        <f>IFERROR(G11/(Config!B26*Config!B21),0)</f>
        <v/>
      </c>
      <c r="I11" s="23" t="n">
        <v>-160</v>
      </c>
      <c r="J11" s="23" t="n">
        <v>370</v>
      </c>
      <c r="K11" s="27">
        <f>J11/ABS(I11)</f>
        <v/>
      </c>
      <c r="L11" s="28">
        <f>MIN(100,ROUND(J11/ABS(I11)*30+50,0))</f>
        <v/>
      </c>
    </row>
    <row r="12" ht="19.5" customHeight="1">
      <c r="A12" s="22" t="inlineStr">
        <is>
          <t>±4.5%</t>
        </is>
      </c>
      <c r="B12" s="23" t="n">
        <v>11200</v>
      </c>
      <c r="C12" s="23" t="n">
        <v>2010</v>
      </c>
      <c r="D12" s="24">
        <f>B12-C12</f>
        <v/>
      </c>
      <c r="E12" s="25">
        <f>IFERROR(D12/(Config!B26*Config!B21),0)</f>
        <v/>
      </c>
      <c r="F12" s="25">
        <f>IFERROR(D12/Config!B26,0)</f>
        <v/>
      </c>
      <c r="G12" s="26" t="n">
        <v>-3733</v>
      </c>
      <c r="H12" s="25">
        <f>IFERROR(G12/(Config!B26*Config!B21),0)</f>
        <v/>
      </c>
      <c r="I12" s="23" t="n">
        <v>-110</v>
      </c>
      <c r="J12" s="23" t="n">
        <v>290</v>
      </c>
      <c r="K12" s="27">
        <f>J12/ABS(I12)</f>
        <v/>
      </c>
      <c r="L12" s="28">
        <f>MIN(100,ROUND(J12/ABS(I12)*30+50,0))</f>
        <v/>
      </c>
    </row>
    <row r="13" ht="13.5" customHeight="1">
      <c r="A13" s="4" t="inlineStr">
        <is>
          <t>SENSEX  —  Capital: ₹1,10,000 per lot  |  Lot size: 10</t>
        </is>
      </c>
    </row>
    <row r="14" ht="19.5" customHeight="1">
      <c r="A14" s="30" t="inlineStr">
        <is>
          <t>±2.5%</t>
        </is>
      </c>
      <c r="B14" s="31" t="n">
        <v>9200</v>
      </c>
      <c r="C14" s="31" t="n">
        <v>1050</v>
      </c>
      <c r="D14" s="24">
        <f>B14-C14</f>
        <v/>
      </c>
      <c r="E14" s="25">
        <f>IFERROR(D14/(Config!B26*Config!B21),0)</f>
        <v/>
      </c>
      <c r="F14" s="25">
        <f>IFERROR(D14/Config!B26,0)</f>
        <v/>
      </c>
      <c r="G14" s="26" t="n">
        <v>-3066</v>
      </c>
      <c r="H14" s="25">
        <f>IFERROR(G14/(Config!B26*Config!B21),0)</f>
        <v/>
      </c>
      <c r="I14" s="31" t="n">
        <v>-180</v>
      </c>
      <c r="J14" s="31" t="n">
        <v>340</v>
      </c>
      <c r="K14" s="27">
        <f>J14/ABS(I14)</f>
        <v/>
      </c>
      <c r="L14" s="28">
        <f>MIN(100,ROUND(J14/ABS(I14)*30+50,0))</f>
        <v/>
      </c>
    </row>
    <row r="15" ht="19.5" customHeight="1">
      <c r="A15" s="30" t="inlineStr">
        <is>
          <t>±3.0%</t>
        </is>
      </c>
      <c r="B15" s="31" t="n">
        <v>11600</v>
      </c>
      <c r="C15" s="31" t="n">
        <v>1100</v>
      </c>
      <c r="D15" s="24">
        <f>B15-C15</f>
        <v/>
      </c>
      <c r="E15" s="25">
        <f>IFERROR(D15/(Config!B26*Config!B21),0)</f>
        <v/>
      </c>
      <c r="F15" s="25">
        <f>IFERROR(D15/Config!B26,0)</f>
        <v/>
      </c>
      <c r="G15" s="26" t="n">
        <v>-3866</v>
      </c>
      <c r="H15" s="25">
        <f>IFERROR(G15/(Config!B26*Config!B21),0)</f>
        <v/>
      </c>
      <c r="I15" s="31" t="n">
        <v>-150</v>
      </c>
      <c r="J15" s="31" t="n">
        <v>280</v>
      </c>
      <c r="K15" s="27">
        <f>J15/ABS(I15)</f>
        <v/>
      </c>
      <c r="L15" s="28">
        <f>MIN(100,ROUND(J15/ABS(I15)*30+50,0))</f>
        <v/>
      </c>
    </row>
    <row r="16" ht="19.5" customHeight="1">
      <c r="A16" s="32" t="inlineStr">
        <is>
          <t>±3.5% ★ Best</t>
        </is>
      </c>
      <c r="B16" s="31" t="n">
        <v>13800</v>
      </c>
      <c r="C16" s="31" t="n">
        <v>1160</v>
      </c>
      <c r="D16" s="24">
        <f>B16-C16</f>
        <v/>
      </c>
      <c r="E16" s="25">
        <f>IFERROR(D16/(Config!B26*Config!B21),0)</f>
        <v/>
      </c>
      <c r="F16" s="25">
        <f>IFERROR(D16/Config!B26,0)</f>
        <v/>
      </c>
      <c r="G16" s="26" t="n">
        <v>-4600</v>
      </c>
      <c r="H16" s="25">
        <f>IFERROR(G16/(Config!B26*Config!B21),0)</f>
        <v/>
      </c>
      <c r="I16" s="31" t="n">
        <v>-110</v>
      </c>
      <c r="J16" s="31" t="n">
        <v>230</v>
      </c>
      <c r="K16" s="27">
        <f>J16/ABS(I16)</f>
        <v/>
      </c>
      <c r="L16" s="28">
        <f>MIN(100,ROUND(J16/ABS(I16)*30+50,0))</f>
        <v/>
      </c>
    </row>
    <row r="17" ht="19.5" customHeight="1">
      <c r="A17" s="30" t="inlineStr">
        <is>
          <t>±4.0%</t>
        </is>
      </c>
      <c r="B17" s="31" t="n">
        <v>10400</v>
      </c>
      <c r="C17" s="31" t="n">
        <v>1120</v>
      </c>
      <c r="D17" s="24">
        <f>B17-C17</f>
        <v/>
      </c>
      <c r="E17" s="25">
        <f>IFERROR(D17/(Config!B26*Config!B21),0)</f>
        <v/>
      </c>
      <c r="F17" s="25">
        <f>IFERROR(D17/Config!B26,0)</f>
        <v/>
      </c>
      <c r="G17" s="26" t="n">
        <v>-3466</v>
      </c>
      <c r="H17" s="25">
        <f>IFERROR(G17/(Config!B26*Config!B21),0)</f>
        <v/>
      </c>
      <c r="I17" s="31" t="n">
        <v>-90</v>
      </c>
      <c r="J17" s="31" t="n">
        <v>200</v>
      </c>
      <c r="K17" s="27">
        <f>J17/ABS(I17)</f>
        <v/>
      </c>
      <c r="L17" s="28">
        <f>MIN(100,ROUND(J17/ABS(I17)*30+50,0))</f>
        <v/>
      </c>
    </row>
    <row r="18" ht="19.5" customHeight="1">
      <c r="A18" s="30" t="inlineStr">
        <is>
          <t>±4.5%</t>
        </is>
      </c>
      <c r="B18" s="31" t="n">
        <v>6800</v>
      </c>
      <c r="C18" s="31" t="n">
        <v>1080</v>
      </c>
      <c r="D18" s="24">
        <f>B18-C18</f>
        <v/>
      </c>
      <c r="E18" s="25">
        <f>IFERROR(D18/(Config!B26*Config!B21),0)</f>
        <v/>
      </c>
      <c r="F18" s="25">
        <f>IFERROR(D18/Config!B26,0)</f>
        <v/>
      </c>
      <c r="G18" s="26" t="n">
        <v>-2266</v>
      </c>
      <c r="H18" s="25">
        <f>IFERROR(G18/(Config!B26*Config!B21),0)</f>
        <v/>
      </c>
      <c r="I18" s="31" t="n">
        <v>-60</v>
      </c>
      <c r="J18" s="31" t="n">
        <v>160</v>
      </c>
      <c r="K18" s="27">
        <f>J18/ABS(I18)</f>
        <v/>
      </c>
      <c r="L18" s="28">
        <f>MIN(100,ROUND(J18/ABS(I18)*30+50,0))</f>
        <v/>
      </c>
    </row>
    <row r="20" ht="13.5" customHeight="1">
      <c r="A20" s="3" t="inlineStr">
        <is>
          <t>GLOSSARY &amp; DISPLAY RULES</t>
        </is>
      </c>
    </row>
    <row r="21" ht="27.75" customHeight="1">
      <c r="A21" s="33" t="inlineStr">
        <is>
          <t>Net P&amp;L monthly %</t>
        </is>
      </c>
      <c r="B21" s="2" t="inlineStr">
        <is>
          <t>Net P&amp;L ÷ (₹5,00,000 × lookback months). Shows annualised pace of return on capital deployed.</t>
        </is>
      </c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</row>
    <row r="22" ht="27.75" customHeight="1">
      <c r="A22" s="33" t="inlineStr">
        <is>
          <t>Max DD monthly %</t>
        </is>
      </c>
      <c r="B22" s="2" t="inlineStr">
        <is>
          <t>Largest peak-to-trough loss ÷ (₹5,00,000 × months). Negative = capital at risk per month.</t>
        </is>
      </c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</row>
    <row r="23" ht="27.75" customHeight="1">
      <c r="A23" s="33" t="inlineStr">
        <is>
          <t>Vega (₹ per 1% IV)</t>
        </is>
      </c>
      <c r="B23" s="2" t="inlineStr">
        <is>
          <t>How much your P&amp;L changes for every 1% rise in Implied Volatility. NEGATIVE because you are SHORT vol. Example: Vega = −₹220 → IV spikes +5% → you lose ₹1,100 on that leg.</t>
        </is>
      </c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</row>
    <row r="24" ht="27.75" customHeight="1">
      <c r="A24" s="33" t="inlineStr">
        <is>
          <t>Theta (₹/day)</t>
        </is>
      </c>
      <c r="B24" s="2" t="inlineStr">
        <is>
          <t>Daily time-decay income collected. POSITIVE because you are SHORT options. Example: Theta = +₹440 → you earn ₹440 for every calendar day the position is held, all else equal.</t>
        </is>
      </c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</row>
    <row r="25" ht="27.75" customHeight="1">
      <c r="A25" s="33" t="inlineStr">
        <is>
          <t>Cushion ratio</t>
        </is>
      </c>
      <c r="B25" s="2" t="inlineStr">
        <is>
          <t>Theta ÷ |Vega|. Answers: 'How many IV points must spike in ONE day to wipe today's Theta?' ≥2.0x = safe zone (green). 1–2x = watch zone (amber). &lt;1x = danger (red).</t>
        </is>
      </c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</row>
    <row r="26" ht="27.75" customHeight="1">
      <c r="A26" s="33" t="inlineStr">
        <is>
          <t>Signal score</t>
        </is>
      </c>
      <c r="B26" s="2" t="inlineStr">
        <is>
          <t>Composite 0–100. 60% weight on BS strike probability (N·d2) + 40% on IVP premium quality. ≥65 = SELL. 50–64 = MONITOR. &lt;50 = AVOID.</t>
        </is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27.75" customHeight="1">
      <c r="A27" s="33" t="inlineStr">
        <is>
          <t>IVP floor/ceiling</t>
        </is>
      </c>
      <c r="B27" s="2" t="inlineStr">
        <is>
          <t>IVP &lt;20 → skip (vol too low, Vega expansion risk). IVP &gt;80 → skip (Gamma spike risk). 20–80 = trade zone.</t>
        </is>
      </c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</row>
    <row r="28" ht="27.75" customHeight="1">
      <c r="A28" s="33" t="inlineStr">
        <is>
          <t>Holiday DTE adjust</t>
        </is>
      </c>
      <c r="B28" s="2" t="inlineStr">
        <is>
          <t>If next expiry falls after a public holiday, DTE is reduced accordingly. Example: Apr 7 expiry with Apr 5-6 holidays = effective DTE of 2, not 4. All Theta and probability calculations use adjusted DTE.</t>
        </is>
      </c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</row>
    <row r="29" ht="27.75" customHeight="1">
      <c r="A29" s="33" t="inlineStr">
        <is>
          <t>Display format rules</t>
        </is>
      </c>
      <c r="B29" s="2" t="inlineStr">
        <is>
          <t>₹ values: whole numbers, no decimals. % values: one decimal (e.g. 1.6%). Ratios: one decimal + x (e.g. 2.3x). Scores: integer out of 100.</t>
        </is>
      </c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</row>
    <row r="30" ht="27.75" customHeight="1">
      <c r="A30" s="33" t="inlineStr">
        <is>
          <t>Blue cells</t>
        </is>
      </c>
      <c r="B30" s="2" t="inlineStr">
        <is>
          <t>User inputs — change these to update scenarios.</t>
        </is>
      </c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</row>
    <row r="31" ht="27.75" customHeight="1">
      <c r="A31" s="33" t="inlineStr">
        <is>
          <t>Black cells</t>
        </is>
      </c>
      <c r="B31" s="2" t="inlineStr">
        <is>
          <t>Excel formulas — do not overwrite.</t>
        </is>
      </c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</row>
    <row r="32" ht="27.75" customHeight="1">
      <c r="A32" s="33" t="inlineStr">
        <is>
          <t>Green cells</t>
        </is>
      </c>
      <c r="B32" s="2" t="inlineStr">
        <is>
          <t>Cross-sheet links pulling from Config sheet.</t>
        </is>
      </c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</row>
  </sheetData>
  <mergeCells count="17">
    <mergeCell ref="A20:L20"/>
    <mergeCell ref="A2:L2"/>
    <mergeCell ref="B26:L26"/>
    <mergeCell ref="A7:L7"/>
    <mergeCell ref="B30:L30"/>
    <mergeCell ref="B21:L21"/>
    <mergeCell ref="B29:L29"/>
    <mergeCell ref="B25:L25"/>
    <mergeCell ref="A1:L1"/>
    <mergeCell ref="B24:L24"/>
    <mergeCell ref="A13:L13"/>
    <mergeCell ref="B28:L28"/>
    <mergeCell ref="B22:L22"/>
    <mergeCell ref="B32:L32"/>
    <mergeCell ref="B31:L31"/>
    <mergeCell ref="B23:L23"/>
    <mergeCell ref="B27:L27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tabSelected="1" zoomScaleNormal="100" workbookViewId="0">
      <pane xSplit="1" ySplit="6" topLeftCell="B8" activePane="bottomRight" state="frozen"/>
      <selection pane="topRight" activeCell="B1" sqref="B1"/>
      <selection pane="bottomLeft" activeCell="A7" sqref="A7"/>
      <selection pane="bottomRight" activeCell="B10" sqref="B10"/>
    </sheetView>
  </sheetViews>
  <sheetFormatPr baseColWidth="8" defaultColWidth="8.7109375" defaultRowHeight="15"/>
  <cols>
    <col width="22" customWidth="1" min="1" max="1"/>
    <col width="12" customWidth="1" min="2" max="6"/>
    <col width="36.5703125" customWidth="1" min="7" max="7"/>
  </cols>
  <sheetData>
    <row r="1" ht="27.75" customHeight="1">
      <c r="A1" s="7" t="inlineStr">
        <is>
          <t>LIVE SIGNAL SHEET  —  Tab 2: Next Expiry  |  Immediate next weekly / monthly contract</t>
        </is>
      </c>
      <c r="B1" s="71" t="n"/>
      <c r="C1" s="71" t="n"/>
      <c r="D1" s="71" t="n"/>
      <c r="E1" s="71" t="n"/>
      <c r="F1" s="71" t="n"/>
      <c r="G1" s="71" t="n"/>
    </row>
    <row r="2" ht="39.75" customHeight="1">
      <c r="A2" s="6" t="inlineStr">
        <is>
          <t>DATA SOURCE: Live feed via DhanHQ or Kite API (fallback: NSE Bhavcopy EOD T-1 close)  |  Time snapshots: 10 AM / 11 AM / 12 PM / 1 PM / 2 PM / 3 PM  |  DTE: Calendar days adjusted for NSE holidays — no trading on Sat/Sun/holidays  |  Strike probability: Black-Scholes N(d2) using live ATM IV  |  Extreme loss scenario: 0.5% beyond outer strike (1 day before expiry max)</t>
        </is>
      </c>
    </row>
    <row r="3" ht="21.75" customHeight="1">
      <c r="A3" s="16" t="inlineStr">
        <is>
          <t>NIFTY 50 Spot</t>
        </is>
      </c>
      <c r="B3" s="17">
        <f>Config!B3</f>
        <v/>
      </c>
      <c r="C3" s="16" t="inlineStr">
        <is>
          <t>NIFTY IV%</t>
        </is>
      </c>
      <c r="D3" s="18">
        <f>Config!B5</f>
        <v/>
      </c>
      <c r="E3" s="16" t="inlineStr">
        <is>
          <t>SENSEX Spot</t>
        </is>
      </c>
      <c r="F3" s="17">
        <f>Config!B7</f>
        <v/>
      </c>
      <c r="G3" s="34" t="inlineStr">
        <is>
          <t>Snapshot time → use dropdown in Config</t>
        </is>
      </c>
    </row>
    <row r="4" ht="19.5" customHeight="1">
      <c r="A4" s="16" t="inlineStr">
        <is>
          <t>Next expiry</t>
        </is>
      </c>
      <c r="B4" s="35">
        <f>Config!B12</f>
        <v/>
      </c>
      <c r="C4" s="16" t="inlineStr">
        <is>
          <t>DTE (adj.)</t>
        </is>
      </c>
      <c r="D4" s="35">
        <f>Config!B13</f>
        <v/>
      </c>
      <c r="E4" s="16" t="inlineStr">
        <is>
          <t>IVP (30d)</t>
        </is>
      </c>
      <c r="F4" s="24">
        <f>Config!B6</f>
        <v/>
      </c>
      <c r="G4" s="16" t="inlineStr">
        <is>
          <t>Regime / signal threshold</t>
        </is>
      </c>
    </row>
    <row r="5" ht="31.5" customHeight="1">
      <c r="A5" s="36" t="inlineStr">
        <is>
          <t>PUT LEG →</t>
        </is>
      </c>
      <c r="B5" s="36" t="inlineStr">
        <is>
          <t>−4.5%
21,680</t>
        </is>
      </c>
      <c r="C5" s="36" t="inlineStr">
        <is>
          <t>−4.0%
21,792</t>
        </is>
      </c>
      <c r="D5" s="36" t="inlineStr">
        <is>
          <t>−3.5%
21,905</t>
        </is>
      </c>
      <c r="E5" s="36" t="inlineStr">
        <is>
          <t>−3.0%
22,019</t>
        </is>
      </c>
      <c r="F5" s="36" t="inlineStr">
        <is>
          <t>−2.5%
22,133</t>
        </is>
      </c>
      <c r="G5" s="36" t="n"/>
    </row>
    <row r="6" ht="19.5" customHeight="1">
      <c r="A6" s="12" t="inlineStr">
        <is>
          <t>Premium (₹)</t>
        </is>
      </c>
      <c r="B6" s="37" t="n">
        <v>8</v>
      </c>
      <c r="C6" s="37" t="n">
        <v>14</v>
      </c>
      <c r="D6" s="37" t="n">
        <v>22</v>
      </c>
      <c r="E6" s="37" t="n">
        <v>38</v>
      </c>
      <c r="F6" s="37" t="n">
        <v>64</v>
      </c>
      <c r="G6" s="11" t="inlineStr">
        <is>
          <t>Live ATM mid-price from option chain. Source: Kite/DhanHQ API or NSE EOD</t>
        </is>
      </c>
    </row>
    <row r="7" ht="19.5" customHeight="1">
      <c r="A7" s="12" t="inlineStr">
        <is>
          <t>Profit/lot (₹)</t>
        </is>
      </c>
      <c r="B7" s="37">
        <f>IFERROR(B6*65,0)</f>
        <v/>
      </c>
      <c r="C7" s="37">
        <f>IFERROR(C6*65,0)</f>
        <v/>
      </c>
      <c r="D7" s="37">
        <f>IFERROR(D6*65,0)</f>
        <v/>
      </c>
      <c r="E7" s="37">
        <f>IFERROR(E6*65,0)</f>
        <v/>
      </c>
      <c r="F7" s="37">
        <f>IFERROR(F6*65,0)</f>
        <v/>
      </c>
      <c r="G7" s="11" t="inlineStr">
        <is>
          <t>Premium × lot size (NIFTY=65, SENSEX=10). No decimals.</t>
        </is>
      </c>
    </row>
    <row r="8" ht="35.25" customHeight="1">
      <c r="A8" s="12" t="inlineStr">
        <is>
          <t>Capital req. (₹)</t>
        </is>
      </c>
      <c r="B8" s="37" t="n">
        <v>28400</v>
      </c>
      <c r="C8" s="37" t="n">
        <v>29100</v>
      </c>
      <c r="D8" s="37" t="n">
        <v>30200</v>
      </c>
      <c r="E8" s="37" t="n">
        <v>31800</v>
      </c>
      <c r="F8" s="37" t="n">
        <v>33600</v>
      </c>
      <c r="G8" s="11" t="inlineStr">
        <is>
          <t>SPAN + Exposure margin. Source: broker margin calculator API</t>
        </is>
      </c>
    </row>
    <row r="9" ht="19.5" customHeight="1">
      <c r="A9" s="12" t="inlineStr">
        <is>
          <t>Return/lot (%)</t>
        </is>
      </c>
      <c r="B9" s="38">
        <f>IFERROR(B7/B8,0)</f>
        <v/>
      </c>
      <c r="C9" s="38">
        <f>IFERROR(C7/C8,0)</f>
        <v/>
      </c>
      <c r="D9" s="38">
        <f>IFERROR(D7/D8,0)</f>
        <v/>
      </c>
      <c r="E9" s="38">
        <f>IFERROR(E7/E8,0)</f>
        <v/>
      </c>
      <c r="F9" s="38">
        <f>IFERROR(F7/F8,0)</f>
        <v/>
      </c>
      <c r="G9" s="11" t="inlineStr">
        <is>
          <t>Profit per lot ÷ Capital required. Format: 0.0%</t>
        </is>
      </c>
    </row>
    <row r="10" ht="19.5" customHeight="1">
      <c r="A10" s="12" t="inlineStr">
        <is>
          <t>Prob – N(d2) %</t>
        </is>
      </c>
      <c r="B10" s="39" t="n">
        <v>94</v>
      </c>
      <c r="C10" s="39" t="n">
        <v>91</v>
      </c>
      <c r="D10" s="39" t="n">
        <v>86</v>
      </c>
      <c r="E10" s="39" t="n">
        <v>78</v>
      </c>
      <c r="F10" s="39" t="n">
        <v>66</v>
      </c>
      <c r="G10" s="11" t="inlineStr">
        <is>
          <t>BS probability spot stays above put strike at expiry. Uses live IV + holiday-adj DTE</t>
        </is>
      </c>
    </row>
    <row r="11" ht="19.5" customHeight="1">
      <c r="A11" s="12" t="inlineStr">
        <is>
          <t>Cushion ratio</t>
        </is>
      </c>
      <c r="B11" s="40" t="n">
        <v>2.8</v>
      </c>
      <c r="C11" s="40" t="n">
        <v>2.3</v>
      </c>
      <c r="D11" s="40" t="n">
        <v>1.7</v>
      </c>
      <c r="E11" s="40" t="n">
        <v>1.2</v>
      </c>
      <c r="F11" s="40" t="n">
        <v>0.8</v>
      </c>
      <c r="G11" s="11" t="inlineStr">
        <is>
          <t>Theta ÷ |Vega|. Green ≥2x · Amber 1–2x · Red &lt;1x</t>
        </is>
      </c>
    </row>
    <row r="12" ht="19.5" customHeight="1">
      <c r="A12" s="12" t="inlineStr">
        <is>
          <t>Signal score</t>
        </is>
      </c>
      <c r="B12" s="41" t="n">
        <v>71</v>
      </c>
      <c r="C12" s="41" t="n">
        <v>66</v>
      </c>
      <c r="D12" s="41" t="n">
        <v>59</v>
      </c>
      <c r="E12" s="41" t="n">
        <v>52</v>
      </c>
      <c r="F12" s="41" t="n">
        <v>41</v>
      </c>
      <c r="G12" s="11" t="inlineStr">
        <is>
          <t>60% × Prob + 40% × IVP_quality_score. ≥65=SELL · 50-64=MONITOR · &lt;50=AVOID</t>
        </is>
      </c>
    </row>
    <row r="13" ht="19.5" customHeight="1">
      <c r="A13" s="12" t="inlineStr">
        <is>
          <t>Action</t>
        </is>
      </c>
      <c r="B13" s="42" t="inlineStr">
        <is>
          <t>SELL</t>
        </is>
      </c>
      <c r="C13" s="42" t="inlineStr">
        <is>
          <t>SELL</t>
        </is>
      </c>
      <c r="D13" s="43" t="inlineStr">
        <is>
          <t>MONITOR</t>
        </is>
      </c>
      <c r="E13" s="43" t="inlineStr">
        <is>
          <t>MONITOR</t>
        </is>
      </c>
      <c r="F13" s="44" t="inlineStr">
        <is>
          <t>AVOID</t>
        </is>
      </c>
      <c r="G13" s="11" t="inlineStr">
        <is>
          <t>Auto-generated from signal score vs threshold in Config!B16</t>
        </is>
      </c>
    </row>
    <row r="14" ht="19.5" customHeight="1">
      <c r="A14" s="12" t="inlineStr">
        <is>
          <t>Extreme loss 0.5% (₹)</t>
        </is>
      </c>
      <c r="B14" s="45" t="n"/>
      <c r="C14" s="45" t="n"/>
      <c r="D14" s="45" t="n"/>
      <c r="E14" s="45" t="n"/>
      <c r="F14" s="45" t="n"/>
      <c r="G14" s="11" t="inlineStr">
        <is>
          <t>Loss if spot moves 0.5% beyond outer strike on last day. = (Strike − Spot) × lot × contracts</t>
        </is>
      </c>
    </row>
    <row r="16" ht="28.5" customHeight="1">
      <c r="A16" s="46" t="inlineStr">
        <is>
          <t>CALL LEG →</t>
        </is>
      </c>
      <c r="B16" s="46" t="inlineStr">
        <is>
          <t>+2.5%
23,268</t>
        </is>
      </c>
      <c r="C16" s="46" t="inlineStr">
        <is>
          <t>+3.0%
23,381</t>
        </is>
      </c>
      <c r="D16" s="46" t="inlineStr">
        <is>
          <t>+3.5%
23,494</t>
        </is>
      </c>
      <c r="E16" s="46" t="inlineStr">
        <is>
          <t>+4.0%
23,608</t>
        </is>
      </c>
      <c r="F16" s="46" t="inlineStr">
        <is>
          <t>+6.6%
24,200*</t>
        </is>
      </c>
      <c r="G16" s="46" t="inlineStr">
        <is>
          <t>* Your example from worked case</t>
        </is>
      </c>
    </row>
    <row r="17" ht="19.5" customHeight="1">
      <c r="A17" s="12" t="inlineStr">
        <is>
          <t>Premium (₹)</t>
        </is>
      </c>
      <c r="B17" s="47" t="n">
        <v>58</v>
      </c>
      <c r="C17" s="47" t="n">
        <v>34</v>
      </c>
      <c r="D17" s="47" t="n">
        <v>19</v>
      </c>
      <c r="E17" s="47" t="n">
        <v>10</v>
      </c>
      <c r="F17" s="47" t="n">
        <v>15</v>
      </c>
      <c r="G17" s="11" t="inlineStr">
        <is>
          <t>Live ATM mid-price from option chain. Source: Kite/DhanHQ API or NSE EOD</t>
        </is>
      </c>
    </row>
    <row r="18" ht="19.5" customHeight="1">
      <c r="A18" s="12" t="inlineStr">
        <is>
          <t>Profit/lot (₹)</t>
        </is>
      </c>
      <c r="B18" s="47">
        <f>IFERROR(B17*65,0)</f>
        <v/>
      </c>
      <c r="C18" s="47">
        <f>IFERROR(C17*65,0)</f>
        <v/>
      </c>
      <c r="D18" s="47">
        <f>IFERROR(D17*65,0)</f>
        <v/>
      </c>
      <c r="E18" s="47">
        <f>IFERROR(E17*65,0)</f>
        <v/>
      </c>
      <c r="F18" s="47">
        <f>IFERROR(F17*65,0)</f>
        <v/>
      </c>
      <c r="G18" s="11" t="inlineStr">
        <is>
          <t>Premium × lot size (NIFTY=65, SENSEX=10). No decimals.</t>
        </is>
      </c>
    </row>
    <row r="19" ht="19.5" customHeight="1">
      <c r="A19" s="12" t="inlineStr">
        <is>
          <t>Capital req. (₹)</t>
        </is>
      </c>
      <c r="B19" s="47" t="n">
        <v>34200</v>
      </c>
      <c r="C19" s="47" t="n">
        <v>32800</v>
      </c>
      <c r="D19" s="47" t="n">
        <v>31400</v>
      </c>
      <c r="E19" s="47" t="n">
        <v>29900</v>
      </c>
      <c r="F19" s="47" t="n">
        <v>28600</v>
      </c>
      <c r="G19" s="11" t="inlineStr">
        <is>
          <t>SPAN + Exposure margin. Source: broker margin calculator API</t>
        </is>
      </c>
    </row>
    <row r="20" ht="19.5" customHeight="1">
      <c r="A20" s="12" t="inlineStr">
        <is>
          <t>Return/lot (%)</t>
        </is>
      </c>
      <c r="B20" s="48">
        <f>IFERROR(B18/B19,0)</f>
        <v/>
      </c>
      <c r="C20" s="48">
        <f>IFERROR(C18/C19,0)</f>
        <v/>
      </c>
      <c r="D20" s="48">
        <f>IFERROR(D18/D19,0)</f>
        <v/>
      </c>
      <c r="E20" s="48">
        <f>IFERROR(E18/E19,0)</f>
        <v/>
      </c>
      <c r="F20" s="48">
        <f>IFERROR(F18/F19,0)</f>
        <v/>
      </c>
      <c r="G20" s="11" t="inlineStr">
        <is>
          <t>Profit per lot ÷ Capital required. Format: 0.0%</t>
        </is>
      </c>
    </row>
    <row r="21" ht="19.5" customHeight="1">
      <c r="A21" s="12" t="inlineStr">
        <is>
          <t>Prob – N(d2) %</t>
        </is>
      </c>
      <c r="B21" s="49" t="n">
        <v>72</v>
      </c>
      <c r="C21" s="49" t="n">
        <v>83</v>
      </c>
      <c r="D21" s="49" t="n">
        <v>91</v>
      </c>
      <c r="E21" s="49" t="n">
        <v>96</v>
      </c>
      <c r="F21" s="49" t="n">
        <v>99</v>
      </c>
      <c r="G21" s="11" t="inlineStr">
        <is>
          <t>BS probability spot stays above put strike at expiry. Uses live IV + holiday-adj DTE</t>
        </is>
      </c>
    </row>
    <row r="22" ht="19.5" customHeight="1">
      <c r="A22" s="12" t="inlineStr">
        <is>
          <t>Cushion ratio</t>
        </is>
      </c>
      <c r="B22" s="50" t="n">
        <v>0.9</v>
      </c>
      <c r="C22" s="50" t="n">
        <v>1.4</v>
      </c>
      <c r="D22" s="50" t="n">
        <v>2.1</v>
      </c>
      <c r="E22" s="50" t="n">
        <v>2.9</v>
      </c>
      <c r="F22" s="50" t="n">
        <v>3.1</v>
      </c>
      <c r="G22" s="11" t="inlineStr">
        <is>
          <t>Theta ÷ |Vega|. Green ≥2x · Amber 1–2x · Red &lt;1x</t>
        </is>
      </c>
    </row>
    <row r="23" ht="19.5" customHeight="1">
      <c r="A23" s="12" t="inlineStr">
        <is>
          <t>Signal score</t>
        </is>
      </c>
      <c r="B23" s="51" t="n">
        <v>48</v>
      </c>
      <c r="C23" s="51" t="n">
        <v>58</v>
      </c>
      <c r="D23" s="51" t="n">
        <v>67</v>
      </c>
      <c r="E23" s="51" t="n">
        <v>76</v>
      </c>
      <c r="F23" s="51" t="n">
        <v>84</v>
      </c>
      <c r="G23" s="11" t="inlineStr">
        <is>
          <t>60% × Prob + 40% × IVP_quality_score. ≥65=SELL · 50-64=MONITOR · &lt;50=AVOID</t>
        </is>
      </c>
    </row>
    <row r="24" ht="19.5" customHeight="1">
      <c r="A24" s="12" t="inlineStr">
        <is>
          <t>Action</t>
        </is>
      </c>
      <c r="B24" s="44" t="inlineStr">
        <is>
          <t>AVOID</t>
        </is>
      </c>
      <c r="C24" s="43" t="inlineStr">
        <is>
          <t>MONITOR</t>
        </is>
      </c>
      <c r="D24" s="42" t="inlineStr">
        <is>
          <t>SELL</t>
        </is>
      </c>
      <c r="E24" s="42" t="inlineStr">
        <is>
          <t>SELL</t>
        </is>
      </c>
      <c r="F24" s="42" t="inlineStr">
        <is>
          <t>SELL★</t>
        </is>
      </c>
      <c r="G24" s="11" t="inlineStr">
        <is>
          <t>Auto-generated from signal score vs threshold in Config!B16</t>
        </is>
      </c>
    </row>
    <row r="25" ht="19.5" customHeight="1">
      <c r="A25" s="12" t="inlineStr">
        <is>
          <t>Extreme loss 0.5% (₹)</t>
        </is>
      </c>
      <c r="B25" s="45" t="n"/>
      <c r="C25" s="45" t="n"/>
      <c r="D25" s="45" t="n"/>
      <c r="E25" s="45" t="n"/>
      <c r="F25" s="45" t="n"/>
      <c r="G25" s="11" t="inlineStr">
        <is>
          <t>Loss if spot moves 0.5% beyond outer strike on last day. = (Strike − Spot) × lot × contracts</t>
        </is>
      </c>
    </row>
    <row r="27" ht="13.5" customHeight="1">
      <c r="A27" s="3" t="inlineStr">
        <is>
          <t>GLOSSARY — LIVE SIGNAL SHEET</t>
        </is>
      </c>
    </row>
    <row r="28" ht="42" customHeight="1">
      <c r="A28" s="33" t="inlineStr">
        <is>
          <t>Prob N(d2)</t>
        </is>
      </c>
      <c r="B28" s="2" t="inlineStr">
        <is>
          <t>Black-Scholes N(d2): probability the option expires worthless (out-of-the-money). Inputs: Spot, Strike, IV (annualised), Risk-free rate (~6.5% India), holiday-adjusted DTE. 94% on a put means: market implies 94% chance spot stays above that strike at expiry.</t>
        </is>
      </c>
      <c r="C28" s="72" t="n"/>
      <c r="D28" s="72" t="n"/>
      <c r="E28" s="72" t="n"/>
      <c r="F28" s="72" t="n"/>
      <c r="G28" s="72" t="n"/>
    </row>
    <row r="29" ht="42" customHeight="1">
      <c r="A29" s="33" t="inlineStr">
        <is>
          <t>Cushion ratio</t>
        </is>
      </c>
      <c r="B29" s="2" t="inlineStr">
        <is>
          <t>Theta ÷ |Vega|. Number of IV percentage-points that must spike in ONE day to wipe your entire daily Theta income. Example: Theta=+₹440, Vega=−₹220 → ratio=2.0x → IV needs to rise 2 full points (e.g. 14%→16%) in a single day to cancel out your decay income. ≥2x green · 1–2x amber · &lt;1x red.</t>
        </is>
      </c>
      <c r="C29" s="72" t="n"/>
      <c r="D29" s="72" t="n"/>
      <c r="E29" s="72" t="n"/>
      <c r="F29" s="72" t="n"/>
      <c r="G29" s="72" t="n"/>
    </row>
    <row r="30" ht="42" customHeight="1">
      <c r="A30" s="33" t="inlineStr">
        <is>
          <t>Signal score</t>
        </is>
      </c>
      <c r="B30" s="2" t="inlineStr">
        <is>
          <t>Composite 0–100. Formula: (N(d2) probability × 0.60) + (IVP quality score × 0.40). IVP quality score = IVP × 1.25 capped at 100 (peaks at IVP=80). Threshold for SELL is set in Config sheet (default 65). Raise to 75 for conservative weeks.</t>
        </is>
      </c>
      <c r="C30" s="72" t="n"/>
      <c r="D30" s="72" t="n"/>
      <c r="E30" s="72" t="n"/>
      <c r="F30" s="72" t="n"/>
      <c r="G30" s="72" t="n"/>
    </row>
    <row r="31" ht="42" customHeight="1">
      <c r="A31" s="33" t="inlineStr">
        <is>
          <t>Extreme loss 0.5%</t>
        </is>
      </c>
      <c r="B31" s="2" t="inlineStr">
        <is>
          <t>Scenario: spot moves 0.5% BEYOND the outer strike on the last trading day before expiry. Why 0.5%? You enter at fag-end of theta decay on near-expiry contracts — extreme moves beyond this are tail events. Formula: (Strike − Spot_extreme) × lot_size × no_of_contracts. Shown as negative ₹ loss. Use this to size position so loss &lt; 5% of capital.</t>
        </is>
      </c>
      <c r="C31" s="72" t="n"/>
      <c r="D31" s="72" t="n"/>
      <c r="E31" s="72" t="n"/>
      <c r="F31" s="72" t="n"/>
      <c r="G31" s="72" t="n"/>
    </row>
    <row r="32" ht="42" customHeight="1">
      <c r="A32" s="33" t="inlineStr">
        <is>
          <t>Holiday DTE</t>
        </is>
      </c>
      <c r="B32" s="2" t="inlineStr">
        <is>
          <t>Effective DTE = Calendar days to expiry MINUS weekend days MINUS NSE public holidays. Example: Trade on Apr 3 (Thursday), expiry Apr 7 (Monday). Apr 5 (Sat), Apr 6 (Sun) = 0 trading. Effective DTE = 2 (Thu close → Mon open only). This compresses Theta AND tightens N(d2) — probability rises sharply, making far-OTM sells safer near expiry.</t>
        </is>
      </c>
      <c r="C32" s="72" t="n"/>
      <c r="D32" s="72" t="n"/>
      <c r="E32" s="72" t="n"/>
      <c r="F32" s="72" t="n"/>
      <c r="G32" s="72" t="n"/>
    </row>
    <row r="33" ht="42" customHeight="1">
      <c r="A33" s="33" t="inlineStr">
        <is>
          <t>Display rules</t>
        </is>
      </c>
      <c r="B33" s="2" t="inlineStr">
        <is>
          <t>All ₹ values: integers only, Indian comma format. Percentages: one decimal place. Ratios: one decimal + x. Scores: integer. Negative P&amp;L: shown in (brackets).</t>
        </is>
      </c>
      <c r="C33" s="72" t="n"/>
      <c r="D33" s="72" t="n"/>
      <c r="E33" s="72" t="n"/>
      <c r="F33" s="72" t="n"/>
      <c r="G33" s="72" t="n"/>
    </row>
  </sheetData>
  <mergeCells count="9">
    <mergeCell ref="A1:G1"/>
    <mergeCell ref="B28:G28"/>
    <mergeCell ref="A27:G27"/>
    <mergeCell ref="B31:G31"/>
    <mergeCell ref="B32:G32"/>
    <mergeCell ref="A2:G2"/>
    <mergeCell ref="B30:G30"/>
    <mergeCell ref="B29:G29"/>
    <mergeCell ref="B33:G3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zoomScaleNormal="100" workbookViewId="0">
      <selection activeCell="A3" sqref="A3"/>
    </sheetView>
  </sheetViews>
  <sheetFormatPr baseColWidth="8" defaultColWidth="8.7109375" defaultRowHeight="15"/>
  <cols>
    <col width="20" customWidth="1" min="1" max="1"/>
    <col width="24.85546875" customWidth="1" min="2" max="2"/>
    <col width="14" customWidth="1" min="3" max="6"/>
    <col width="22" customWidth="1" min="7" max="7"/>
  </cols>
  <sheetData>
    <row r="1" ht="27.75" customHeight="1">
      <c r="A1" s="7" t="inlineStr">
        <is>
          <t>IV HISTORY — Tab 3: 30-Period Chart  |  Period selector: 1D / 1H / 5M</t>
        </is>
      </c>
      <c r="B1" s="71" t="n"/>
      <c r="C1" s="71" t="n"/>
      <c r="D1" s="71" t="n"/>
      <c r="E1" s="71" t="n"/>
      <c r="F1" s="71" t="n"/>
      <c r="G1" s="71" t="n"/>
    </row>
    <row r="2" ht="39.75" customHeight="1">
      <c r="A2" s="6" t="inlineStr">
        <is>
          <t>DATA SOURCE: NSE Bhavcopy for 1D (EOD IV from ATM mid-price).  DhanHQ Historical API or Kite Instruments for 1H and 5M intraday.  Pull last 30 periods of the selected timeframe.  NIFTY IV = ATM straddle mid ÷ spot × √(365/DTE) × 100 (annualised).  SENSEX IV = same formula applied to BSE option chain.</t>
        </is>
      </c>
    </row>
    <row r="3" ht="21.75" customHeight="1">
      <c r="A3" s="15" t="inlineStr">
        <is>
          <t>1D</t>
        </is>
      </c>
      <c r="B3" s="52">
        <f>Config!B3</f>
        <v/>
      </c>
      <c r="C3" s="25">
        <f>Config!B5</f>
        <v/>
      </c>
      <c r="D3" s="52">
        <f>Config!B7</f>
        <v/>
      </c>
      <c r="E3" s="25">
        <f>Config!B9</f>
        <v/>
      </c>
      <c r="F3" s="53">
        <f>Config!B6</f>
        <v/>
      </c>
      <c r="G3" s="35">
        <f>IF(Config!B6&lt;Config!B16,"LOW – skip",IF(Config!B6&gt;Config!B17,"HIGH – skip","ALLOW"))</f>
        <v/>
      </c>
    </row>
    <row r="4" ht="29.25" customHeight="1">
      <c r="A4" s="54" t="inlineStr">
        <is>
          <t>Period #</t>
        </is>
      </c>
      <c r="B4" s="54" t="inlineStr">
        <is>
          <t>Date / Time</t>
        </is>
      </c>
      <c r="C4" s="54" t="inlineStr">
        <is>
          <t>NIFTY ATM IV%</t>
        </is>
      </c>
      <c r="D4" s="54" t="inlineStr">
        <is>
          <t>NIFTY IVP rank</t>
        </is>
      </c>
      <c r="E4" s="54" t="inlineStr">
        <is>
          <t>SENSEX ATM IV%</t>
        </is>
      </c>
      <c r="F4" s="54" t="inlineStr">
        <is>
          <t>SENSEX IVP rank</t>
        </is>
      </c>
      <c r="G4" s="54" t="inlineStr">
        <is>
          <t>Notes</t>
        </is>
      </c>
    </row>
    <row r="5" ht="15.75" customHeight="1">
      <c r="A5" s="35" t="n">
        <v>30</v>
      </c>
      <c r="B5" s="55" t="inlineStr">
        <is>
          <t>← pull from data source (period 30)</t>
        </is>
      </c>
      <c r="C5" s="56" t="inlineStr">
        <is>
          <t>← API / Bhavcopy</t>
        </is>
      </c>
      <c r="D5" s="57" t="inlineStr">
        <is>
          <t>← API / Bhavcopy</t>
        </is>
      </c>
      <c r="E5" s="56" t="inlineStr">
        <is>
          <t>← API / Bhavcopy</t>
        </is>
      </c>
      <c r="F5" s="57" t="inlineStr">
        <is>
          <t>← API / Bhavcopy</t>
        </is>
      </c>
      <c r="G5" s="58" t="inlineStr">
        <is>
          <t>Auto from IVP rank</t>
        </is>
      </c>
    </row>
    <row r="6" ht="15.75" customHeight="1">
      <c r="A6" s="59" t="n">
        <v>29</v>
      </c>
      <c r="B6" s="55" t="inlineStr">
        <is>
          <t>← pull from data source (period 29)</t>
        </is>
      </c>
      <c r="C6" s="56" t="inlineStr">
        <is>
          <t>← API / Bhavcopy</t>
        </is>
      </c>
      <c r="D6" s="57" t="inlineStr">
        <is>
          <t>← API / Bhavcopy</t>
        </is>
      </c>
      <c r="E6" s="56" t="inlineStr">
        <is>
          <t>← API / Bhavcopy</t>
        </is>
      </c>
      <c r="F6" s="57" t="inlineStr">
        <is>
          <t>← API / Bhavcopy</t>
        </is>
      </c>
      <c r="G6" s="58" t="inlineStr">
        <is>
          <t>Auto from IVP rank</t>
        </is>
      </c>
    </row>
    <row r="7" ht="15.75" customHeight="1">
      <c r="A7" s="35" t="n">
        <v>28</v>
      </c>
      <c r="B7" s="55" t="inlineStr">
        <is>
          <t>← pull from data source (period 28)</t>
        </is>
      </c>
      <c r="C7" s="56" t="inlineStr">
        <is>
          <t>← API / Bhavcopy</t>
        </is>
      </c>
      <c r="D7" s="57" t="inlineStr">
        <is>
          <t>← API / Bhavcopy</t>
        </is>
      </c>
      <c r="E7" s="56" t="inlineStr">
        <is>
          <t>← API / Bhavcopy</t>
        </is>
      </c>
      <c r="F7" s="57" t="inlineStr">
        <is>
          <t>← API / Bhavcopy</t>
        </is>
      </c>
      <c r="G7" s="58" t="inlineStr">
        <is>
          <t>Auto from IVP rank</t>
        </is>
      </c>
    </row>
    <row r="8" ht="15.75" customHeight="1">
      <c r="A8" s="59" t="n">
        <v>27</v>
      </c>
      <c r="B8" s="55" t="inlineStr">
        <is>
          <t>← pull from data source (period 27)</t>
        </is>
      </c>
      <c r="C8" s="56" t="inlineStr">
        <is>
          <t>← API / Bhavcopy</t>
        </is>
      </c>
      <c r="D8" s="57" t="inlineStr">
        <is>
          <t>← API / Bhavcopy</t>
        </is>
      </c>
      <c r="E8" s="56" t="inlineStr">
        <is>
          <t>← API / Bhavcopy</t>
        </is>
      </c>
      <c r="F8" s="57" t="inlineStr">
        <is>
          <t>← API / Bhavcopy</t>
        </is>
      </c>
      <c r="G8" s="58" t="inlineStr">
        <is>
          <t>Auto from IVP rank</t>
        </is>
      </c>
    </row>
    <row r="9" ht="15.75" customHeight="1">
      <c r="A9" s="35" t="n">
        <v>26</v>
      </c>
      <c r="B9" s="55" t="inlineStr">
        <is>
          <t>← pull from data source (period 26)</t>
        </is>
      </c>
      <c r="C9" s="56" t="inlineStr">
        <is>
          <t>← API / Bhavcopy</t>
        </is>
      </c>
      <c r="D9" s="57" t="inlineStr">
        <is>
          <t>← API / Bhavcopy</t>
        </is>
      </c>
      <c r="E9" s="56" t="inlineStr">
        <is>
          <t>← API / Bhavcopy</t>
        </is>
      </c>
      <c r="F9" s="57" t="inlineStr">
        <is>
          <t>← API / Bhavcopy</t>
        </is>
      </c>
      <c r="G9" s="58" t="inlineStr">
        <is>
          <t>Auto from IVP rank</t>
        </is>
      </c>
    </row>
    <row r="10" ht="15.75" customHeight="1">
      <c r="A10" s="59" t="n">
        <v>25</v>
      </c>
      <c r="B10" s="55" t="inlineStr">
        <is>
          <t>← pull from data source (period 25)</t>
        </is>
      </c>
      <c r="C10" s="56" t="inlineStr">
        <is>
          <t>← API / Bhavcopy</t>
        </is>
      </c>
      <c r="D10" s="57" t="inlineStr">
        <is>
          <t>← API / Bhavcopy</t>
        </is>
      </c>
      <c r="E10" s="56" t="inlineStr">
        <is>
          <t>← API / Bhavcopy</t>
        </is>
      </c>
      <c r="F10" s="57" t="inlineStr">
        <is>
          <t>← API / Bhavcopy</t>
        </is>
      </c>
      <c r="G10" s="58" t="inlineStr">
        <is>
          <t>Auto from IVP rank</t>
        </is>
      </c>
    </row>
    <row r="11" ht="15.75" customHeight="1">
      <c r="A11" s="35" t="n">
        <v>24</v>
      </c>
      <c r="B11" s="55" t="inlineStr">
        <is>
          <t>← pull from data source (period 24)</t>
        </is>
      </c>
      <c r="C11" s="56" t="inlineStr">
        <is>
          <t>← API / Bhavcopy</t>
        </is>
      </c>
      <c r="D11" s="57" t="inlineStr">
        <is>
          <t>← API / Bhavcopy</t>
        </is>
      </c>
      <c r="E11" s="56" t="inlineStr">
        <is>
          <t>← API / Bhavcopy</t>
        </is>
      </c>
      <c r="F11" s="57" t="inlineStr">
        <is>
          <t>← API / Bhavcopy</t>
        </is>
      </c>
      <c r="G11" s="58" t="inlineStr">
        <is>
          <t>Auto from IVP rank</t>
        </is>
      </c>
    </row>
    <row r="12" ht="15.75" customHeight="1">
      <c r="A12" s="59" t="n">
        <v>23</v>
      </c>
      <c r="B12" s="55" t="inlineStr">
        <is>
          <t>← pull from data source (period 23)</t>
        </is>
      </c>
      <c r="C12" s="56" t="inlineStr">
        <is>
          <t>← API / Bhavcopy</t>
        </is>
      </c>
      <c r="D12" s="57" t="inlineStr">
        <is>
          <t>← API / Bhavcopy</t>
        </is>
      </c>
      <c r="E12" s="56" t="inlineStr">
        <is>
          <t>← API / Bhavcopy</t>
        </is>
      </c>
      <c r="F12" s="57" t="inlineStr">
        <is>
          <t>← API / Bhavcopy</t>
        </is>
      </c>
      <c r="G12" s="58" t="inlineStr">
        <is>
          <t>Auto from IVP rank</t>
        </is>
      </c>
    </row>
    <row r="13" ht="15.75" customHeight="1">
      <c r="A13" s="35" t="n">
        <v>22</v>
      </c>
      <c r="B13" s="55" t="inlineStr">
        <is>
          <t>← pull from data source (period 22)</t>
        </is>
      </c>
      <c r="C13" s="56" t="inlineStr">
        <is>
          <t>← API / Bhavcopy</t>
        </is>
      </c>
      <c r="D13" s="57" t="inlineStr">
        <is>
          <t>← API / Bhavcopy</t>
        </is>
      </c>
      <c r="E13" s="56" t="inlineStr">
        <is>
          <t>← API / Bhavcopy</t>
        </is>
      </c>
      <c r="F13" s="57" t="inlineStr">
        <is>
          <t>← API / Bhavcopy</t>
        </is>
      </c>
      <c r="G13" s="58" t="inlineStr">
        <is>
          <t>Auto from IVP rank</t>
        </is>
      </c>
    </row>
    <row r="14" ht="15.75" customHeight="1">
      <c r="A14" s="59" t="n">
        <v>21</v>
      </c>
      <c r="B14" s="55" t="inlineStr">
        <is>
          <t>← pull from data source (period 21)</t>
        </is>
      </c>
      <c r="C14" s="56" t="inlineStr">
        <is>
          <t>← API / Bhavcopy</t>
        </is>
      </c>
      <c r="D14" s="57" t="inlineStr">
        <is>
          <t>← API / Bhavcopy</t>
        </is>
      </c>
      <c r="E14" s="56" t="inlineStr">
        <is>
          <t>← API / Bhavcopy</t>
        </is>
      </c>
      <c r="F14" s="57" t="inlineStr">
        <is>
          <t>← API / Bhavcopy</t>
        </is>
      </c>
      <c r="G14" s="58" t="inlineStr">
        <is>
          <t>Auto from IVP rank</t>
        </is>
      </c>
    </row>
    <row r="15" ht="15.75" customHeight="1">
      <c r="A15" s="35" t="n">
        <v>20</v>
      </c>
      <c r="B15" s="55" t="inlineStr">
        <is>
          <t>← pull from data source (period 20)</t>
        </is>
      </c>
      <c r="C15" s="56" t="inlineStr">
        <is>
          <t>← API / Bhavcopy</t>
        </is>
      </c>
      <c r="D15" s="57" t="inlineStr">
        <is>
          <t>← API / Bhavcopy</t>
        </is>
      </c>
      <c r="E15" s="56" t="inlineStr">
        <is>
          <t>← API / Bhavcopy</t>
        </is>
      </c>
      <c r="F15" s="57" t="inlineStr">
        <is>
          <t>← API / Bhavcopy</t>
        </is>
      </c>
      <c r="G15" s="58" t="inlineStr">
        <is>
          <t>Auto from IVP rank</t>
        </is>
      </c>
    </row>
    <row r="16" ht="15.75" customHeight="1">
      <c r="A16" s="59" t="n">
        <v>19</v>
      </c>
      <c r="B16" s="55" t="inlineStr">
        <is>
          <t>← pull from data source (period 19)</t>
        </is>
      </c>
      <c r="C16" s="56" t="inlineStr">
        <is>
          <t>← API / Bhavcopy</t>
        </is>
      </c>
      <c r="D16" s="57" t="inlineStr">
        <is>
          <t>← API / Bhavcopy</t>
        </is>
      </c>
      <c r="E16" s="56" t="inlineStr">
        <is>
          <t>← API / Bhavcopy</t>
        </is>
      </c>
      <c r="F16" s="57" t="inlineStr">
        <is>
          <t>← API / Bhavcopy</t>
        </is>
      </c>
      <c r="G16" s="58" t="inlineStr">
        <is>
          <t>Auto from IVP rank</t>
        </is>
      </c>
    </row>
    <row r="17" ht="15.75" customHeight="1">
      <c r="A17" s="35" t="n">
        <v>18</v>
      </c>
      <c r="B17" s="55" t="inlineStr">
        <is>
          <t>← pull from data source (period 18)</t>
        </is>
      </c>
      <c r="C17" s="56" t="inlineStr">
        <is>
          <t>← API / Bhavcopy</t>
        </is>
      </c>
      <c r="D17" s="57" t="inlineStr">
        <is>
          <t>← API / Bhavcopy</t>
        </is>
      </c>
      <c r="E17" s="56" t="inlineStr">
        <is>
          <t>← API / Bhavcopy</t>
        </is>
      </c>
      <c r="F17" s="57" t="inlineStr">
        <is>
          <t>← API / Bhavcopy</t>
        </is>
      </c>
      <c r="G17" s="58" t="inlineStr">
        <is>
          <t>Auto from IVP rank</t>
        </is>
      </c>
    </row>
    <row r="18" ht="15.75" customHeight="1">
      <c r="A18" s="59" t="n">
        <v>17</v>
      </c>
      <c r="B18" s="55" t="inlineStr">
        <is>
          <t>← pull from data source (period 17)</t>
        </is>
      </c>
      <c r="C18" s="56" t="inlineStr">
        <is>
          <t>← API / Bhavcopy</t>
        </is>
      </c>
      <c r="D18" s="57" t="inlineStr">
        <is>
          <t>← API / Bhavcopy</t>
        </is>
      </c>
      <c r="E18" s="56" t="inlineStr">
        <is>
          <t>← API / Bhavcopy</t>
        </is>
      </c>
      <c r="F18" s="57" t="inlineStr">
        <is>
          <t>← API / Bhavcopy</t>
        </is>
      </c>
      <c r="G18" s="58" t="inlineStr">
        <is>
          <t>Auto from IVP rank</t>
        </is>
      </c>
    </row>
    <row r="19" ht="15.75" customHeight="1">
      <c r="A19" s="35" t="n">
        <v>16</v>
      </c>
      <c r="B19" s="55" t="inlineStr">
        <is>
          <t>← pull from data source (period 16)</t>
        </is>
      </c>
      <c r="C19" s="56" t="inlineStr">
        <is>
          <t>← API / Bhavcopy</t>
        </is>
      </c>
      <c r="D19" s="57" t="inlineStr">
        <is>
          <t>← API / Bhavcopy</t>
        </is>
      </c>
      <c r="E19" s="56" t="inlineStr">
        <is>
          <t>← API / Bhavcopy</t>
        </is>
      </c>
      <c r="F19" s="57" t="inlineStr">
        <is>
          <t>← API / Bhavcopy</t>
        </is>
      </c>
      <c r="G19" s="58" t="inlineStr">
        <is>
          <t>Auto from IVP rank</t>
        </is>
      </c>
    </row>
    <row r="20" ht="15.75" customHeight="1">
      <c r="A20" s="59" t="n">
        <v>15</v>
      </c>
      <c r="B20" s="55" t="inlineStr">
        <is>
          <t>← pull from data source (period 15)</t>
        </is>
      </c>
      <c r="C20" s="56" t="inlineStr">
        <is>
          <t>← API / Bhavcopy</t>
        </is>
      </c>
      <c r="D20" s="57" t="inlineStr">
        <is>
          <t>← API / Bhavcopy</t>
        </is>
      </c>
      <c r="E20" s="56" t="inlineStr">
        <is>
          <t>← API / Bhavcopy</t>
        </is>
      </c>
      <c r="F20" s="57" t="inlineStr">
        <is>
          <t>← API / Bhavcopy</t>
        </is>
      </c>
      <c r="G20" s="58" t="inlineStr">
        <is>
          <t>Auto from IVP rank</t>
        </is>
      </c>
    </row>
    <row r="21" ht="15.75" customHeight="1">
      <c r="A21" s="35" t="n">
        <v>14</v>
      </c>
      <c r="B21" s="55" t="inlineStr">
        <is>
          <t>← pull from data source (period 14)</t>
        </is>
      </c>
      <c r="C21" s="56" t="inlineStr">
        <is>
          <t>← API / Bhavcopy</t>
        </is>
      </c>
      <c r="D21" s="57" t="inlineStr">
        <is>
          <t>← API / Bhavcopy</t>
        </is>
      </c>
      <c r="E21" s="56" t="inlineStr">
        <is>
          <t>← API / Bhavcopy</t>
        </is>
      </c>
      <c r="F21" s="57" t="inlineStr">
        <is>
          <t>← API / Bhavcopy</t>
        </is>
      </c>
      <c r="G21" s="58" t="inlineStr">
        <is>
          <t>Auto from IVP rank</t>
        </is>
      </c>
    </row>
    <row r="22" ht="15.75" customHeight="1">
      <c r="A22" s="59" t="n">
        <v>13</v>
      </c>
      <c r="B22" s="55" t="inlineStr">
        <is>
          <t>← pull from data source (period 13)</t>
        </is>
      </c>
      <c r="C22" s="56" t="inlineStr">
        <is>
          <t>← API / Bhavcopy</t>
        </is>
      </c>
      <c r="D22" s="57" t="inlineStr">
        <is>
          <t>← API / Bhavcopy</t>
        </is>
      </c>
      <c r="E22" s="56" t="inlineStr">
        <is>
          <t>← API / Bhavcopy</t>
        </is>
      </c>
      <c r="F22" s="57" t="inlineStr">
        <is>
          <t>← API / Bhavcopy</t>
        </is>
      </c>
      <c r="G22" s="58" t="inlineStr">
        <is>
          <t>Auto from IVP rank</t>
        </is>
      </c>
    </row>
    <row r="23" ht="15.75" customHeight="1">
      <c r="A23" s="35" t="n">
        <v>12</v>
      </c>
      <c r="B23" s="55" t="inlineStr">
        <is>
          <t>← pull from data source (period 12)</t>
        </is>
      </c>
      <c r="C23" s="56" t="inlineStr">
        <is>
          <t>← API / Bhavcopy</t>
        </is>
      </c>
      <c r="D23" s="57" t="inlineStr">
        <is>
          <t>← API / Bhavcopy</t>
        </is>
      </c>
      <c r="E23" s="56" t="inlineStr">
        <is>
          <t>← API / Bhavcopy</t>
        </is>
      </c>
      <c r="F23" s="57" t="inlineStr">
        <is>
          <t>← API / Bhavcopy</t>
        </is>
      </c>
      <c r="G23" s="58" t="inlineStr">
        <is>
          <t>Auto from IVP rank</t>
        </is>
      </c>
    </row>
    <row r="24" ht="15.75" customHeight="1">
      <c r="A24" s="59" t="n">
        <v>11</v>
      </c>
      <c r="B24" s="55" t="inlineStr">
        <is>
          <t>← pull from data source (period 11)</t>
        </is>
      </c>
      <c r="C24" s="56" t="inlineStr">
        <is>
          <t>← API / Bhavcopy</t>
        </is>
      </c>
      <c r="D24" s="57" t="inlineStr">
        <is>
          <t>← API / Bhavcopy</t>
        </is>
      </c>
      <c r="E24" s="56" t="inlineStr">
        <is>
          <t>← API / Bhavcopy</t>
        </is>
      </c>
      <c r="F24" s="57" t="inlineStr">
        <is>
          <t>← API / Bhavcopy</t>
        </is>
      </c>
      <c r="G24" s="58" t="inlineStr">
        <is>
          <t>Auto from IVP rank</t>
        </is>
      </c>
    </row>
    <row r="25" ht="15.75" customHeight="1">
      <c r="A25" s="35" t="n">
        <v>10</v>
      </c>
      <c r="B25" s="55" t="inlineStr">
        <is>
          <t>← pull from data source (period 10)</t>
        </is>
      </c>
      <c r="C25" s="56" t="inlineStr">
        <is>
          <t>← API / Bhavcopy</t>
        </is>
      </c>
      <c r="D25" s="57" t="inlineStr">
        <is>
          <t>← API / Bhavcopy</t>
        </is>
      </c>
      <c r="E25" s="56" t="inlineStr">
        <is>
          <t>← API / Bhavcopy</t>
        </is>
      </c>
      <c r="F25" s="57" t="inlineStr">
        <is>
          <t>← API / Bhavcopy</t>
        </is>
      </c>
      <c r="G25" s="58" t="inlineStr">
        <is>
          <t>Auto from IVP rank</t>
        </is>
      </c>
    </row>
    <row r="26" ht="15.75" customHeight="1">
      <c r="A26" s="59" t="n">
        <v>9</v>
      </c>
      <c r="B26" s="55" t="inlineStr">
        <is>
          <t>← pull from data source (period 9)</t>
        </is>
      </c>
      <c r="C26" s="56" t="inlineStr">
        <is>
          <t>← API / Bhavcopy</t>
        </is>
      </c>
      <c r="D26" s="57" t="inlineStr">
        <is>
          <t>← API / Bhavcopy</t>
        </is>
      </c>
      <c r="E26" s="56" t="inlineStr">
        <is>
          <t>← API / Bhavcopy</t>
        </is>
      </c>
      <c r="F26" s="57" t="inlineStr">
        <is>
          <t>← API / Bhavcopy</t>
        </is>
      </c>
      <c r="G26" s="58" t="inlineStr">
        <is>
          <t>Auto from IVP rank</t>
        </is>
      </c>
    </row>
    <row r="27" ht="15.75" customHeight="1">
      <c r="A27" s="35" t="n">
        <v>8</v>
      </c>
      <c r="B27" s="55" t="inlineStr">
        <is>
          <t>← pull from data source (period 8)</t>
        </is>
      </c>
      <c r="C27" s="56" t="inlineStr">
        <is>
          <t>← API / Bhavcopy</t>
        </is>
      </c>
      <c r="D27" s="57" t="inlineStr">
        <is>
          <t>← API / Bhavcopy</t>
        </is>
      </c>
      <c r="E27" s="56" t="inlineStr">
        <is>
          <t>← API / Bhavcopy</t>
        </is>
      </c>
      <c r="F27" s="57" t="inlineStr">
        <is>
          <t>← API / Bhavcopy</t>
        </is>
      </c>
      <c r="G27" s="58" t="inlineStr">
        <is>
          <t>Auto from IVP rank</t>
        </is>
      </c>
    </row>
    <row r="28" ht="15.75" customHeight="1">
      <c r="A28" s="59" t="n">
        <v>7</v>
      </c>
      <c r="B28" s="55" t="inlineStr">
        <is>
          <t>← pull from data source (period 7)</t>
        </is>
      </c>
      <c r="C28" s="56" t="inlineStr">
        <is>
          <t>← API / Bhavcopy</t>
        </is>
      </c>
      <c r="D28" s="57" t="inlineStr">
        <is>
          <t>← API / Bhavcopy</t>
        </is>
      </c>
      <c r="E28" s="56" t="inlineStr">
        <is>
          <t>← API / Bhavcopy</t>
        </is>
      </c>
      <c r="F28" s="57" t="inlineStr">
        <is>
          <t>← API / Bhavcopy</t>
        </is>
      </c>
      <c r="G28" s="58" t="inlineStr">
        <is>
          <t>Auto from IVP rank</t>
        </is>
      </c>
    </row>
    <row r="29" ht="15.75" customHeight="1">
      <c r="A29" s="35" t="n">
        <v>6</v>
      </c>
      <c r="B29" s="55" t="inlineStr">
        <is>
          <t>← pull from data source (period 6)</t>
        </is>
      </c>
      <c r="C29" s="56" t="inlineStr">
        <is>
          <t>← API / Bhavcopy</t>
        </is>
      </c>
      <c r="D29" s="57" t="inlineStr">
        <is>
          <t>← API / Bhavcopy</t>
        </is>
      </c>
      <c r="E29" s="56" t="inlineStr">
        <is>
          <t>← API / Bhavcopy</t>
        </is>
      </c>
      <c r="F29" s="57" t="inlineStr">
        <is>
          <t>← API / Bhavcopy</t>
        </is>
      </c>
      <c r="G29" s="58" t="inlineStr">
        <is>
          <t>Auto from IVP rank</t>
        </is>
      </c>
    </row>
    <row r="30" ht="15.75" customHeight="1">
      <c r="A30" s="59" t="n">
        <v>5</v>
      </c>
      <c r="B30" s="55" t="inlineStr">
        <is>
          <t>← pull from data source (period 5)</t>
        </is>
      </c>
      <c r="C30" s="56" t="inlineStr">
        <is>
          <t>← API / Bhavcopy</t>
        </is>
      </c>
      <c r="D30" s="57" t="inlineStr">
        <is>
          <t>← API / Bhavcopy</t>
        </is>
      </c>
      <c r="E30" s="56" t="inlineStr">
        <is>
          <t>← API / Bhavcopy</t>
        </is>
      </c>
      <c r="F30" s="57" t="inlineStr">
        <is>
          <t>← API / Bhavcopy</t>
        </is>
      </c>
      <c r="G30" s="58" t="inlineStr">
        <is>
          <t>Auto from IVP rank</t>
        </is>
      </c>
    </row>
    <row r="31" ht="15.75" customHeight="1">
      <c r="A31" s="35" t="n">
        <v>4</v>
      </c>
      <c r="B31" s="55" t="inlineStr">
        <is>
          <t>← pull from data source (period 4)</t>
        </is>
      </c>
      <c r="C31" s="56" t="inlineStr">
        <is>
          <t>← API / Bhavcopy</t>
        </is>
      </c>
      <c r="D31" s="57" t="inlineStr">
        <is>
          <t>← API / Bhavcopy</t>
        </is>
      </c>
      <c r="E31" s="56" t="inlineStr">
        <is>
          <t>← API / Bhavcopy</t>
        </is>
      </c>
      <c r="F31" s="57" t="inlineStr">
        <is>
          <t>← API / Bhavcopy</t>
        </is>
      </c>
      <c r="G31" s="58" t="inlineStr">
        <is>
          <t>Auto from IVP rank</t>
        </is>
      </c>
    </row>
    <row r="32" ht="15.75" customHeight="1">
      <c r="A32" s="59" t="n">
        <v>3</v>
      </c>
      <c r="B32" s="55" t="inlineStr">
        <is>
          <t>← pull from data source (period 3)</t>
        </is>
      </c>
      <c r="C32" s="56" t="inlineStr">
        <is>
          <t>← API / Bhavcopy</t>
        </is>
      </c>
      <c r="D32" s="57" t="inlineStr">
        <is>
          <t>← API / Bhavcopy</t>
        </is>
      </c>
      <c r="E32" s="56" t="inlineStr">
        <is>
          <t>← API / Bhavcopy</t>
        </is>
      </c>
      <c r="F32" s="57" t="inlineStr">
        <is>
          <t>← API / Bhavcopy</t>
        </is>
      </c>
      <c r="G32" s="58" t="inlineStr">
        <is>
          <t>Auto from IVP rank</t>
        </is>
      </c>
    </row>
    <row r="33" ht="15.75" customHeight="1">
      <c r="A33" s="35" t="n">
        <v>2</v>
      </c>
      <c r="B33" s="55" t="inlineStr">
        <is>
          <t>← pull from data source (period 2)</t>
        </is>
      </c>
      <c r="C33" s="56" t="inlineStr">
        <is>
          <t>← API / Bhavcopy</t>
        </is>
      </c>
      <c r="D33" s="57" t="inlineStr">
        <is>
          <t>← API / Bhavcopy</t>
        </is>
      </c>
      <c r="E33" s="56" t="inlineStr">
        <is>
          <t>← API / Bhavcopy</t>
        </is>
      </c>
      <c r="F33" s="57" t="inlineStr">
        <is>
          <t>← API / Bhavcopy</t>
        </is>
      </c>
      <c r="G33" s="58" t="inlineStr">
        <is>
          <t>Auto from IVP rank</t>
        </is>
      </c>
    </row>
    <row r="34" ht="15.75" customHeight="1">
      <c r="A34" s="59" t="n">
        <v>1</v>
      </c>
      <c r="B34" s="55" t="inlineStr">
        <is>
          <t>← pull from data source (period 1)</t>
        </is>
      </c>
      <c r="C34" s="56" t="inlineStr">
        <is>
          <t>← API / Bhavcopy</t>
        </is>
      </c>
      <c r="D34" s="57" t="inlineStr">
        <is>
          <t>← API / Bhavcopy</t>
        </is>
      </c>
      <c r="E34" s="56" t="inlineStr">
        <is>
          <t>← API / Bhavcopy</t>
        </is>
      </c>
      <c r="F34" s="57" t="inlineStr">
        <is>
          <t>← API / Bhavcopy</t>
        </is>
      </c>
      <c r="G34" s="58" t="inlineStr">
        <is>
          <t>Auto from IVP rank</t>
        </is>
      </c>
    </row>
    <row r="36" ht="36" customHeight="1">
      <c r="A36" s="1" t="inlineStr">
        <is>
          <t>INSERT CHART HERE: Select B5:C34, Insert → Line Chart → 'NIFTY ATM IV (30 periods)'. Add second series E5:E34 for SENSEX IV. Add horizontal reference lines at IVP Floor (Config!B14) and Ceiling (Config!B15). Label axes: X = Period, Y = IV%. Title = 'Implied Volatility — Last 30 Periods'.</t>
        </is>
      </c>
      <c r="B36" s="72" t="n"/>
      <c r="C36" s="72" t="n"/>
      <c r="D36" s="72" t="n"/>
      <c r="E36" s="72" t="n"/>
      <c r="F36" s="72" t="n"/>
      <c r="G36" s="72" t="n"/>
    </row>
    <row r="38" ht="13.5" customHeight="1">
      <c r="A38" s="3" t="inlineStr">
        <is>
          <t>GLOSSARY — IV HISTORY SHEET</t>
        </is>
      </c>
    </row>
    <row r="39" ht="36" customHeight="1">
      <c r="A39" s="33" t="inlineStr">
        <is>
          <t>ATM IV%</t>
        </is>
      </c>
      <c r="B39" s="2" t="inlineStr">
        <is>
          <t>Implied Volatility extracted from At-The-Money option mid-price using Black-Scholes reverse. Represents market's consensus forecast of future volatility. Higher = market fears larger moves.</t>
        </is>
      </c>
      <c r="C39" s="72" t="n"/>
      <c r="D39" s="72" t="n"/>
      <c r="E39" s="72" t="n"/>
      <c r="F39" s="72" t="n"/>
      <c r="G39" s="72" t="n"/>
    </row>
    <row r="40" ht="36" customHeight="1">
      <c r="A40" s="33" t="inlineStr">
        <is>
          <t>IVP rank</t>
        </is>
      </c>
      <c r="B40" s="2" t="inlineStr">
        <is>
          <t>IV Percentile over last 30 periods of selected timeframe. Formula: count(periods where IV &lt; today's IV) ÷ 30. 0% = IV at historic low. 100% = IV at historic high. Trade zone: 20%–80%.</t>
        </is>
      </c>
      <c r="C40" s="72" t="n"/>
      <c r="D40" s="72" t="n"/>
      <c r="E40" s="72" t="n"/>
      <c r="F40" s="72" t="n"/>
      <c r="G40" s="72" t="n"/>
    </row>
    <row r="41" ht="36" customHeight="1">
      <c r="A41" s="33" t="inlineStr">
        <is>
          <t>1D period</t>
        </is>
      </c>
      <c r="B41" s="2" t="inlineStr">
        <is>
          <t>Each row = one trading day's closing ATM IV. Source: NSE Bhavcopy. Free, T+1 available by 6 PM.</t>
        </is>
      </c>
      <c r="C41" s="72" t="n"/>
      <c r="D41" s="72" t="n"/>
      <c r="E41" s="72" t="n"/>
      <c r="F41" s="72" t="n"/>
      <c r="G41" s="72" t="n"/>
    </row>
    <row r="42" ht="36" customHeight="1">
      <c r="A42" s="33" t="inlineStr">
        <is>
          <t>1H period</t>
        </is>
      </c>
      <c r="B42" s="2" t="inlineStr">
        <is>
          <t>Each row = one hourly candle IV snapshot. Source: DhanHQ Historical API or Kite Instruments endpoint. Requires API key. Best for intraday signal refinement.</t>
        </is>
      </c>
      <c r="C42" s="72" t="n"/>
      <c r="D42" s="72" t="n"/>
      <c r="E42" s="72" t="n"/>
      <c r="F42" s="72" t="n"/>
      <c r="G42" s="72" t="n"/>
    </row>
    <row r="43" ht="36" customHeight="1">
      <c r="A43" s="33" t="inlineStr">
        <is>
          <t>5M period</t>
        </is>
      </c>
      <c r="B43" s="2" t="inlineStr">
        <is>
          <t>Each row = one 5-minute candle. Source: same as 1H. Use only for final-hour entry timing. High noise — cross-check with 1D IVP before acting.</t>
        </is>
      </c>
      <c r="C43" s="72" t="n"/>
      <c r="D43" s="72" t="n"/>
      <c r="E43" s="72" t="n"/>
      <c r="F43" s="72" t="n"/>
      <c r="G43" s="72" t="n"/>
    </row>
    <row r="44" ht="36" customHeight="1">
      <c r="A44" s="33" t="inlineStr">
        <is>
          <t>How to read</t>
        </is>
      </c>
      <c r="B44" s="2" t="inlineStr">
        <is>
          <t>Rising IV + low IVP → vol expanding from base → cautious. Falling IV + high IVP → vol compressing from peak → ideal selling environment. Flat IV in mid-IVP → stable → standard signal logic applies.</t>
        </is>
      </c>
      <c r="C44" s="72" t="n"/>
      <c r="D44" s="72" t="n"/>
      <c r="E44" s="72" t="n"/>
      <c r="F44" s="72" t="n"/>
      <c r="G44" s="72" t="n"/>
    </row>
  </sheetData>
  <mergeCells count="10">
    <mergeCell ref="A36:G36"/>
    <mergeCell ref="A1:G1"/>
    <mergeCell ref="B42:G42"/>
    <mergeCell ref="B41:G41"/>
    <mergeCell ref="A38:G38"/>
    <mergeCell ref="A2:G2"/>
    <mergeCell ref="B43:G43"/>
    <mergeCell ref="B40:G40"/>
    <mergeCell ref="B44:G44"/>
    <mergeCell ref="B39:G3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2026-04-03T16:03:19Z</dcterms:created>
  <dcterms:modified xmlns:dcterms="http://purl.org/dc/terms/" xmlns:xsi="http://www.w3.org/2001/XMLSchema-instance" xsi:type="dcterms:W3CDTF">2026-04-03T20:39:01Z</dcterms:modified>
  <cp:lastModifiedBy>Govindaraj Prabhu Manohar</cp:lastModifiedBy>
  <cp:revision>0</cp:revision>
</cp:coreProperties>
</file>