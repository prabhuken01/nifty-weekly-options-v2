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Personal\Trading_Champion\Projects\Nifty Weekly Options Strategy_v1\"/>
    </mc:Choice>
  </mc:AlternateContent>
  <xr:revisionPtr revIDLastSave="0" documentId="13_ncr:1_{12EAF83D-3C1C-4F42-87F7-3512AC2AC3D7}" xr6:coauthVersionLast="47" xr6:coauthVersionMax="47" xr10:uidLastSave="{00000000-0000-0000-0000-000000000000}"/>
  <bookViews>
    <workbookView xWindow="-120" yWindow="-120" windowWidth="38640" windowHeight="21120" tabRatio="500" activeTab="2" xr2:uid="{00000000-000D-0000-FFFF-FFFF00000000}"/>
  </bookViews>
  <sheets>
    <sheet name="Config" sheetId="1" r:id="rId1"/>
    <sheet name="Tab1_Backtest" sheetId="2" r:id="rId2"/>
    <sheet name="Tab2_LiveSignal" sheetId="3" r:id="rId3"/>
    <sheet name="Tab3_IV_Histo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" i="4" l="1"/>
  <c r="F3" i="4"/>
  <c r="E3" i="4"/>
  <c r="D3" i="4"/>
  <c r="C3" i="4"/>
  <c r="B3" i="4"/>
  <c r="D20" i="3"/>
  <c r="C20" i="3"/>
  <c r="B20" i="3"/>
  <c r="F18" i="3"/>
  <c r="F20" i="3" s="1"/>
  <c r="E18" i="3"/>
  <c r="E20" i="3" s="1"/>
  <c r="D18" i="3"/>
  <c r="C18" i="3"/>
  <c r="B18" i="3"/>
  <c r="B9" i="3"/>
  <c r="F7" i="3"/>
  <c r="F9" i="3" s="1"/>
  <c r="E7" i="3"/>
  <c r="E9" i="3" s="1"/>
  <c r="D7" i="3"/>
  <c r="D9" i="3" s="1"/>
  <c r="C7" i="3"/>
  <c r="C9" i="3" s="1"/>
  <c r="B7" i="3"/>
  <c r="F4" i="3"/>
  <c r="D4" i="3"/>
  <c r="B4" i="3"/>
  <c r="F3" i="3"/>
  <c r="D3" i="3"/>
  <c r="B3" i="3"/>
  <c r="L18" i="2"/>
  <c r="K18" i="2"/>
  <c r="H18" i="2"/>
  <c r="F18" i="2"/>
  <c r="E18" i="2"/>
  <c r="D18" i="2"/>
  <c r="L17" i="2"/>
  <c r="K17" i="2"/>
  <c r="H17" i="2"/>
  <c r="D17" i="2"/>
  <c r="F17" i="2" s="1"/>
  <c r="L16" i="2"/>
  <c r="K16" i="2"/>
  <c r="H16" i="2"/>
  <c r="F16" i="2"/>
  <c r="E16" i="2"/>
  <c r="D16" i="2"/>
  <c r="L15" i="2"/>
  <c r="K15" i="2"/>
  <c r="H15" i="2"/>
  <c r="D15" i="2"/>
  <c r="F15" i="2" s="1"/>
  <c r="L14" i="2"/>
  <c r="K14" i="2"/>
  <c r="H14" i="2"/>
  <c r="F14" i="2"/>
  <c r="E14" i="2"/>
  <c r="D14" i="2"/>
  <c r="L12" i="2"/>
  <c r="K12" i="2"/>
  <c r="H12" i="2"/>
  <c r="D12" i="2"/>
  <c r="F12" i="2" s="1"/>
  <c r="L11" i="2"/>
  <c r="K11" i="2"/>
  <c r="H11" i="2"/>
  <c r="F11" i="2"/>
  <c r="E11" i="2"/>
  <c r="D11" i="2"/>
  <c r="L10" i="2"/>
  <c r="K10" i="2"/>
  <c r="H10" i="2"/>
  <c r="D10" i="2"/>
  <c r="F10" i="2" s="1"/>
  <c r="L9" i="2"/>
  <c r="K9" i="2"/>
  <c r="H9" i="2"/>
  <c r="F9" i="2"/>
  <c r="E9" i="2"/>
  <c r="D9" i="2"/>
  <c r="L8" i="2"/>
  <c r="K8" i="2"/>
  <c r="H8" i="2"/>
  <c r="D8" i="2"/>
  <c r="F8" i="2" s="1"/>
  <c r="L3" i="2"/>
  <c r="J3" i="2"/>
  <c r="H3" i="2"/>
  <c r="F3" i="2"/>
  <c r="D3" i="2"/>
  <c r="B3" i="2"/>
  <c r="E8" i="2" l="1"/>
  <c r="E10" i="2"/>
  <c r="E12" i="2"/>
  <c r="E15" i="2"/>
  <c r="E17" i="2"/>
</calcChain>
</file>

<file path=xl/sharedStrings.xml><?xml version="1.0" encoding="utf-8"?>
<sst xmlns="http://schemas.openxmlformats.org/spreadsheetml/2006/main" count="407" uniqueCount="210">
  <si>
    <t>CONFIG — All dashboard inputs live here</t>
  </si>
  <si>
    <t>── LIVE MARKET DATA ──</t>
  </si>
  <si>
    <t>Pull via API on refresh</t>
  </si>
  <si>
    <t>NIFTY 50 Spot</t>
  </si>
  <si>
    <t>Source: Kite/DhanHQ ticker · format: #,##0</t>
  </si>
  <si>
    <t>NIFTY Day Change %</t>
  </si>
  <si>
    <t>Source: same · format: 0.0%</t>
  </si>
  <si>
    <t>NIFTY ATM IV %</t>
  </si>
  <si>
    <t>ATM straddle mid ÷ BS reverse · format: 0.0%</t>
  </si>
  <si>
    <t>SENSEX Spot</t>
  </si>
  <si>
    <t>Source: Kite/DhanHQ BSE ticker · format: #,##0</t>
  </si>
  <si>
    <t>SENSEX Day Change %</t>
  </si>
  <si>
    <t>format: 0.0%</t>
  </si>
  <si>
    <t>SENSEX ATM IV %</t>
  </si>
  <si>
    <t>── IV REGIME ──</t>
  </si>
  <si>
    <t>IVP (30-day rolling)</t>
  </si>
  <si>
    <t>count(days IV &lt; today) ÷ 30 · format: 0%</t>
  </si>
  <si>
    <t>── EXPIRY &amp; DTE ──</t>
  </si>
  <si>
    <t>7-Apr-2026</t>
  </si>
  <si>
    <t>NSE calendar · format: DD-MMM-YYYY</t>
  </si>
  <si>
    <t>Effective DTE</t>
  </si>
  <si>
    <t>Calendar days adj. for weekends + NSE holidays</t>
  </si>
  <si>
    <t>── FILTER THRESHOLDS ──</t>
  </si>
  <si>
    <t>IVP Floor</t>
  </si>
  <si>
    <t>Skip if IVP below this · default 20%</t>
  </si>
  <si>
    <t>IVP Ceiling</t>
  </si>
  <si>
    <t>Skip if IVP above this · default 80%</t>
  </si>
  <si>
    <t>Signal threshold</t>
  </si>
  <si>
    <t>Min score to generate SELL signal · default 65</t>
  </si>
  <si>
    <t>Exclude Fridays</t>
  </si>
  <si>
    <t>YES</t>
  </si>
  <si>
    <t>YES/NO</t>
  </si>
  <si>
    <t>Lookback months</t>
  </si>
  <si>
    <t>For monthly % calculation</t>
  </si>
  <si>
    <t>── INSTRUMENT ──</t>
  </si>
  <si>
    <t>Active instrument</t>
  </si>
  <si>
    <t>NIFTY 50</t>
  </si>
  <si>
    <t>NIFTY 50 or SENSEX</t>
  </si>
  <si>
    <t>NIFTY lot size</t>
  </si>
  <si>
    <t>NSE standard lot</t>
  </si>
  <si>
    <t>SENSEX lot size</t>
  </si>
  <si>
    <t>BSE standard lot</t>
  </si>
  <si>
    <t>Capital base (₹)</t>
  </si>
  <si>
    <t>For return% and DD% calculations</t>
  </si>
  <si>
    <t>SHORT STRANGLE BACKTESTING DASHBOARD  —  Tab 1: Backtest Results</t>
  </si>
  <si>
    <t>DATA SOURCES &amp; GROUND RULES  |  Bhavcopy (NSE EOD, free) → default  |  DhanHQ / Kite API → live feed  |  Lot size: NIFTY=65, SENSEX=10  |  Capital base: ₹5,00,000  |  Brokerage: ₹80/trade flat  |  STT: 0.05% on exit premium  |  IVP window: 30-day rolling  |  Friday entries excluded  |  Holiday-adjusted DTE</t>
  </si>
  <si>
    <t>NIFTY Chg%</t>
  </si>
  <si>
    <t>NIFTY IV%</t>
  </si>
  <si>
    <t>SENSEX Chg%</t>
  </si>
  <si>
    <t>SENSEX IV%</t>
  </si>
  <si>
    <t>Instrument</t>
  </si>
  <si>
    <t>Entry time</t>
  </si>
  <si>
    <t>Exit time</t>
  </si>
  <si>
    <t>Lookback (months)</t>
  </si>
  <si>
    <t>IVP Floor (%)</t>
  </si>
  <si>
    <t>IVP Ceiling (%)</t>
  </si>
  <si>
    <t>Excl. Fridays?</t>
  </si>
  <si>
    <t>Period (1D/1H/5M)</t>
  </si>
  <si>
    <t>T-2 closing</t>
  </si>
  <si>
    <t>T closing</t>
  </si>
  <si>
    <t>1D</t>
  </si>
  <si>
    <t>Strike offset</t>
  </si>
  <si>
    <t>Gross P&amp;L (₹)</t>
  </si>
  <si>
    <t>Costs (₹)</t>
  </si>
  <si>
    <t>Net P&amp;L (₹)</t>
  </si>
  <si>
    <t>Net P&amp;L monthly %</t>
  </si>
  <si>
    <t>Return on ₹5L (%)</t>
  </si>
  <si>
    <t>Max DD (₹)</t>
  </si>
  <si>
    <t>Max DD monthly %</t>
  </si>
  <si>
    <t>Vega (₹ per 1% IV)</t>
  </si>
  <si>
    <t>Theta (₹/day)</t>
  </si>
  <si>
    <t>Cushion ratio
(Theta÷|Vega|)</t>
  </si>
  <si>
    <t>Signal score
(/100)</t>
  </si>
  <si>
    <t>NIFTY 50  —  Capital: ₹1,20,000 per lot  |  Lot size: 65</t>
  </si>
  <si>
    <t>±2.5%</t>
  </si>
  <si>
    <t>±3.0%</t>
  </si>
  <si>
    <t>±3.5% ★ Best</t>
  </si>
  <si>
    <t>±4.0%</t>
  </si>
  <si>
    <t>±4.5%</t>
  </si>
  <si>
    <t>SENSEX  —  Capital: ₹1,10,000 per lot  |  Lot size: 10</t>
  </si>
  <si>
    <t>GLOSSARY &amp; DISPLAY RULES</t>
  </si>
  <si>
    <t>Net P&amp;L ÷ (₹5,00,000 × lookback months). Shows annualised pace of return on capital deployed.</t>
  </si>
  <si>
    <t>Largest peak-to-trough loss ÷ (₹5,00,000 × months). Negative = capital at risk per month.</t>
  </si>
  <si>
    <t>How much your P&amp;L changes for every 1% rise in Implied Volatility. NEGATIVE because you are SHORT vol. Example: Vega = −₹220 → IV spikes +5% → you lose ₹1,100 on that leg.</t>
  </si>
  <si>
    <t>Daily time-decay income collected. POSITIVE because you are SHORT options. Example: Theta = +₹440 → you earn ₹440 for every calendar day the position is held, all else equal.</t>
  </si>
  <si>
    <t>Cushion ratio</t>
  </si>
  <si>
    <t>Theta ÷ |Vega|. Answers: 'How many IV points must spike in ONE day to wipe today's Theta?' ≥2.0x = safe zone (green). 1–2x = watch zone (amber). &lt;1x = danger (red).</t>
  </si>
  <si>
    <t>Signal score</t>
  </si>
  <si>
    <t>Composite 0–100. 60% weight on BS strike probability (N·d2) + 40% on IVP premium quality. ≥65 = SELL. 50–64 = MONITOR. &lt;50 = AVOID.</t>
  </si>
  <si>
    <t>IVP floor/ceiling</t>
  </si>
  <si>
    <t>IVP &lt;20 → skip (vol too low, Vega expansion risk). IVP &gt;80 → skip (Gamma spike risk). 20–80 = trade zone.</t>
  </si>
  <si>
    <t>Holiday DTE adjust</t>
  </si>
  <si>
    <t>If next expiry falls after a public holiday, DTE is reduced accordingly. Example: Apr 7 expiry with Apr 5-6 holidays = effective DTE of 2, not 4. All Theta and probability calculations use adjusted DTE.</t>
  </si>
  <si>
    <t>Display format rules</t>
  </si>
  <si>
    <t>₹ values: whole numbers, no decimals. % values: one decimal (e.g. 1.6%). Ratios: one decimal + x (e.g. 2.3x). Scores: integer out of 100.</t>
  </si>
  <si>
    <t>Blue cells</t>
  </si>
  <si>
    <t>User inputs — change these to update scenarios.</t>
  </si>
  <si>
    <t>Black cells</t>
  </si>
  <si>
    <t>Excel formulas — do not overwrite.</t>
  </si>
  <si>
    <t>Green cells</t>
  </si>
  <si>
    <t>Cross-sheet links pulling from Config sheet.</t>
  </si>
  <si>
    <t>LIVE SIGNAL SHEET  —  Tab 2: Next Expiry  |  Immediate next weekly / monthly contract</t>
  </si>
  <si>
    <t>DATA SOURCE: Live feed via DhanHQ or Kite API (fallback: NSE Bhavcopy EOD T-1 close)  |  Time snapshots: 10 AM / 11 AM / 12 PM / 1 PM / 2 PM / 3 PM  |  DTE: Calendar days adjusted for NSE holidays — no trading on Sat/Sun/holidays  |  Strike probability: Black-Scholes N(d2) using live ATM IV  |  Extreme loss scenario: 0.5% beyond outer strike (1 day before expiry max)</t>
  </si>
  <si>
    <t>Snapshot time → use dropdown in Config</t>
  </si>
  <si>
    <t>Next expiry</t>
  </si>
  <si>
    <t>DTE (adj.)</t>
  </si>
  <si>
    <t>IVP (30d)</t>
  </si>
  <si>
    <t>Regime / signal threshold</t>
  </si>
  <si>
    <t>PUT LEG →</t>
  </si>
  <si>
    <t>−4.5%
21,680</t>
  </si>
  <si>
    <t>−4.0%
21,792</t>
  </si>
  <si>
    <t>−3.5%
21,905</t>
  </si>
  <si>
    <t>−3.0%
22,019</t>
  </si>
  <si>
    <t>−2.5%
22,133</t>
  </si>
  <si>
    <t>Premium (₹)</t>
  </si>
  <si>
    <t>Live ATM mid-price from option chain. Source: Kite/DhanHQ API or NSE EOD</t>
  </si>
  <si>
    <t>Profit/lot (₹)</t>
  </si>
  <si>
    <t>Premium × lot size (NIFTY=65, SENSEX=10). No decimals.</t>
  </si>
  <si>
    <t>Capital req. (₹)</t>
  </si>
  <si>
    <t>SPAN + Exposure margin. Source: broker margin calculator API</t>
  </si>
  <si>
    <t>Return/lot (%)</t>
  </si>
  <si>
    <t>Profit per lot ÷ Capital required. Format: 0.0%</t>
  </si>
  <si>
    <t>Prob – N(d2) %</t>
  </si>
  <si>
    <t>BS probability spot stays above put strike at expiry. Uses live IV + holiday-adj DTE</t>
  </si>
  <si>
    <t>Theta ÷ |Vega|. Green ≥2x · Amber 1–2x · Red &lt;1x</t>
  </si>
  <si>
    <t>60% × Prob + 40% × IVP_quality_score. ≥65=SELL · 50-64=MONITOR · &lt;50=AVOID</t>
  </si>
  <si>
    <t>Action</t>
  </si>
  <si>
    <t>SELL</t>
  </si>
  <si>
    <t>MONITOR</t>
  </si>
  <si>
    <t>AVOID</t>
  </si>
  <si>
    <t>Auto-generated from signal score vs threshold in Config!B16</t>
  </si>
  <si>
    <t>Extreme loss 0.5% (₹)</t>
  </si>
  <si>
    <t>Loss if spot moves 0.5% beyond outer strike on last day. = (Strike − Spot) × lot × contracts</t>
  </si>
  <si>
    <t>CALL LEG →</t>
  </si>
  <si>
    <t>+2.5%
23,268</t>
  </si>
  <si>
    <t>+3.0%
23,381</t>
  </si>
  <si>
    <t>+3.5%
23,494</t>
  </si>
  <si>
    <t>+4.0%
23,608</t>
  </si>
  <si>
    <t>+6.6%
24,200*</t>
  </si>
  <si>
    <t>* Your example from worked case</t>
  </si>
  <si>
    <t>SELL★</t>
  </si>
  <si>
    <t>GLOSSARY — LIVE SIGNAL SHEET</t>
  </si>
  <si>
    <t>Prob N(d2)</t>
  </si>
  <si>
    <t>Black-Scholes N(d2): probability the option expires worthless (out-of-the-money). Inputs: Spot, Strike, IV (annualised), Risk-free rate (~6.5% India), holiday-adjusted DTE. 94% on a put means: market implies 94% chance spot stays above that strike at expiry.</t>
  </si>
  <si>
    <t>Theta ÷ |Vega|. Number of IV percentage-points that must spike in ONE day to wipe your entire daily Theta income. Example: Theta=+₹440, Vega=−₹220 → ratio=2.0x → IV needs to rise 2 full points (e.g. 14%→16%) in a single day to cancel out your decay income. ≥2x green · 1–2x amber · &lt;1x red.</t>
  </si>
  <si>
    <t>Composite 0–100. Formula: (N(d2) probability × 0.60) + (IVP quality score × 0.40). IVP quality score = IVP × 1.25 capped at 100 (peaks at IVP=80). Threshold for SELL is set in Config sheet (default 65). Raise to 75 for conservative weeks.</t>
  </si>
  <si>
    <t>Extreme loss 0.5%</t>
  </si>
  <si>
    <t>Scenario: spot moves 0.5% BEYOND the outer strike on the last trading day before expiry. Why 0.5%? You enter at fag-end of theta decay on near-expiry contracts — extreme moves beyond this are tail events. Formula: (Strike − Spot_extreme) × lot_size × no_of_contracts. Shown as negative ₹ loss. Use this to size position so loss &lt; 5% of capital.</t>
  </si>
  <si>
    <t>Holiday DTE</t>
  </si>
  <si>
    <t>Effective DTE = Calendar days to expiry MINUS weekend days MINUS NSE public holidays. Example: Trade on Apr 3 (Thursday), expiry Apr 7 (Monday). Apr 5 (Sat), Apr 6 (Sun) = 0 trading. Effective DTE = 2 (Thu close → Mon open only). This compresses Theta AND tightens N(d2) — probability rises sharply, making far-OTM sells safer near expiry.</t>
  </si>
  <si>
    <t>Display rules</t>
  </si>
  <si>
    <t>All ₹ values: integers only, Indian comma format. Percentages: one decimal place. Ratios: one decimal + x. Scores: integer. Negative P&amp;L: shown in (brackets).</t>
  </si>
  <si>
    <t>IV HISTORY — Tab 3: 30-Period Chart  |  Period selector: 1D / 1H / 5M</t>
  </si>
  <si>
    <t>DATA SOURCE: NSE Bhavcopy for 1D (EOD IV from ATM mid-price).  DhanHQ Historical API or Kite Instruments for 1H and 5M intraday.  Pull last 30 periods of the selected timeframe.  NIFTY IV = ATM straddle mid ÷ spot × √(365/DTE) × 100 (annualised).  SENSEX IV = same formula applied to BSE option chain.</t>
  </si>
  <si>
    <t>Period #</t>
  </si>
  <si>
    <t>Date / Time</t>
  </si>
  <si>
    <t>NIFTY ATM IV%</t>
  </si>
  <si>
    <t>NIFTY IVP rank</t>
  </si>
  <si>
    <t>SENSEX ATM IV%</t>
  </si>
  <si>
    <t>SENSEX IVP rank</t>
  </si>
  <si>
    <t>Notes</t>
  </si>
  <si>
    <t>← pull from data source (period 30)</t>
  </si>
  <si>
    <t>← API / Bhavcopy</t>
  </si>
  <si>
    <t>Auto from IVP rank</t>
  </si>
  <si>
    <t>← pull from data source (period 29)</t>
  </si>
  <si>
    <t>← pull from data source (period 28)</t>
  </si>
  <si>
    <t>← pull from data source (period 27)</t>
  </si>
  <si>
    <t>← pull from data source (period 26)</t>
  </si>
  <si>
    <t>← pull from data source (period 25)</t>
  </si>
  <si>
    <t>← pull from data source (period 24)</t>
  </si>
  <si>
    <t>← pull from data source (period 23)</t>
  </si>
  <si>
    <t>← pull from data source (period 22)</t>
  </si>
  <si>
    <t>← pull from data source (period 21)</t>
  </si>
  <si>
    <t>← pull from data source (period 20)</t>
  </si>
  <si>
    <t>← pull from data source (period 19)</t>
  </si>
  <si>
    <t>← pull from data source (period 18)</t>
  </si>
  <si>
    <t>← pull from data source (period 17)</t>
  </si>
  <si>
    <t>← pull from data source (period 16)</t>
  </si>
  <si>
    <t>← pull from data source (period 15)</t>
  </si>
  <si>
    <t>← pull from data source (period 14)</t>
  </si>
  <si>
    <t>← pull from data source (period 13)</t>
  </si>
  <si>
    <t>← pull from data source (period 12)</t>
  </si>
  <si>
    <t>← pull from data source (period 11)</t>
  </si>
  <si>
    <t>← pull from data source (period 10)</t>
  </si>
  <si>
    <t>← pull from data source (period 9)</t>
  </si>
  <si>
    <t>← pull from data source (period 8)</t>
  </si>
  <si>
    <t>← pull from data source (period 7)</t>
  </si>
  <si>
    <t>← pull from data source (period 6)</t>
  </si>
  <si>
    <t>← pull from data source (period 5)</t>
  </si>
  <si>
    <t>← pull from data source (period 4)</t>
  </si>
  <si>
    <t>← pull from data source (period 3)</t>
  </si>
  <si>
    <t>← pull from data source (period 2)</t>
  </si>
  <si>
    <t>← pull from data source (period 1)</t>
  </si>
  <si>
    <t>INSERT CHART HERE: Select B5:C34, Insert → Line Chart → 'NIFTY ATM IV (30 periods)'. Add second series E5:E34 for SENSEX IV. Add horizontal reference lines at IVP Floor (Config!B14) and Ceiling (Config!B15). Label axes: X = Period, Y = IV%. Title = 'Implied Volatility — Last 30 Periods'.</t>
  </si>
  <si>
    <t>GLOSSARY — IV HISTORY SHEET</t>
  </si>
  <si>
    <t>ATM IV%</t>
  </si>
  <si>
    <t>Implied Volatility extracted from At-The-Money option mid-price using Black-Scholes reverse. Represents market's consensus forecast of future volatility. Higher = market fears larger moves.</t>
  </si>
  <si>
    <t>IVP rank</t>
  </si>
  <si>
    <t>IV Percentile over last 30 periods of selected timeframe. Formula: count(periods where IV &lt; today's IV) ÷ 30. 0% = IV at historic low. 100% = IV at historic high. Trade zone: 20%–80%.</t>
  </si>
  <si>
    <t>1D period</t>
  </si>
  <si>
    <t>Each row = one trading day's closing ATM IV. Source: NSE Bhavcopy. Free, T+1 available by 6 PM.</t>
  </si>
  <si>
    <t>1H period</t>
  </si>
  <si>
    <t>Each row = one hourly candle IV snapshot. Source: DhanHQ Historical API or Kite Instruments endpoint. Requires API key. Best for intraday signal refinement.</t>
  </si>
  <si>
    <t>5M period</t>
  </si>
  <si>
    <t>Each row = one 5-minute candle. Source: same as 1H. Use only for final-hour entry timing. High noise — cross-check with 1D IVP before acting.</t>
  </si>
  <si>
    <t>How to read</t>
  </si>
  <si>
    <t>Rising IV + low IVP → vol expanding from base → cautious. Falling IV + high IVP → vol compressing from peak → ideal selling environment. Flat IV in mid-IVP → stable → standard signal logic applies.</t>
  </si>
  <si>
    <t>Nifty-- Next expiry date</t>
  </si>
  <si>
    <t>Sensex - Next expiry date</t>
  </si>
  <si>
    <t>Calendar days adj. for weekends + Sensex holidays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</si>
</sst>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₹#,##0;&quot;(₹&quot;#,##0\);\-"/>
    <numFmt numFmtId="165" formatCode="0.0%"/>
    <numFmt numFmtId="166" formatCode="0.0\x"/>
    <numFmt numFmtId="167" formatCode="0&quot;/100&quot;"/>
    <numFmt numFmtId="168" formatCode="\₹#,##0"/>
  </numFmts>
  <fonts count="11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sz val="8"/>
      <color rgb="FF595959"/>
      <name val="Arial"/>
      <family val="2"/>
    </font>
    <font>
      <b/>
      <sz val="9"/>
      <color rgb="FF000000"/>
      <name val="Arial"/>
      <family val="2"/>
    </font>
    <font>
      <sz val="9"/>
      <color rgb="FF0000FF"/>
      <name val="Arial"/>
      <family val="2"/>
    </font>
    <font>
      <b/>
      <sz val="13"/>
      <color rgb="FFFFFFFF"/>
      <name val="Arial"/>
      <family val="2"/>
    </font>
    <font>
      <sz val="8"/>
      <color rgb="FFFFFFFF"/>
      <name val="Arial"/>
      <family val="2"/>
    </font>
    <font>
      <b/>
      <sz val="8"/>
      <color rgb="FF000000"/>
      <name val="Arial"/>
      <family val="2"/>
    </font>
    <font>
      <sz val="9"/>
      <color rgb="FF1F3864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D9D9D9"/>
        <bgColor rgb="FFDEEAF1"/>
      </patternFill>
    </fill>
    <fill>
      <patternFill patternType="solid">
        <fgColor rgb="FFFFF2CC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  <fill>
      <patternFill patternType="solid">
        <fgColor rgb="FFFFC7CE"/>
        <bgColor rgb="FFD9D9D9"/>
      </patternFill>
    </fill>
    <fill>
      <patternFill patternType="solid">
        <fgColor rgb="FF1F4E79"/>
        <bgColor rgb="FF1F3864"/>
      </patternFill>
    </fill>
    <fill>
      <patternFill patternType="solid">
        <fgColor rgb="FFDEEAF1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medium">
        <color rgb="FF59595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595959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0" fillId="4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11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left" vertical="center" wrapText="1"/>
    </xf>
    <xf numFmtId="0" fontId="8" fillId="3" borderId="0" xfId="0" applyFont="1" applyFill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3" fontId="6" fillId="7" borderId="1" xfId="0" applyNumberFormat="1" applyFont="1" applyFill="1" applyBorder="1" applyAlignment="1">
      <alignment horizontal="center" vertical="center" wrapText="1"/>
    </xf>
    <xf numFmtId="165" fontId="6" fillId="7" borderId="1" xfId="0" applyNumberFormat="1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9" fontId="6" fillId="6" borderId="1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64" fontId="6" fillId="9" borderId="1" xfId="0" applyNumberFormat="1" applyFont="1" applyFill="1" applyBorder="1" applyAlignment="1">
      <alignment horizontal="center" vertical="center" wrapText="1"/>
    </xf>
    <xf numFmtId="164" fontId="3" fillId="7" borderId="1" xfId="0" applyNumberFormat="1" applyFont="1" applyFill="1" applyBorder="1" applyAlignment="1">
      <alignment horizontal="center" vertical="center" wrapText="1"/>
    </xf>
    <xf numFmtId="165" fontId="3" fillId="7" borderId="1" xfId="0" applyNumberFormat="1" applyFont="1" applyFill="1" applyBorder="1" applyAlignment="1">
      <alignment horizontal="center" vertical="center" wrapText="1"/>
    </xf>
    <xf numFmtId="164" fontId="6" fillId="10" borderId="1" xfId="0" applyNumberFormat="1" applyFont="1" applyFill="1" applyBorder="1" applyAlignment="1">
      <alignment horizontal="center" vertical="center" wrapText="1"/>
    </xf>
    <xf numFmtId="166" fontId="3" fillId="7" borderId="1" xfId="0" applyNumberFormat="1" applyFont="1" applyFill="1" applyBorder="1" applyAlignment="1">
      <alignment horizontal="center" vertical="center" wrapText="1"/>
    </xf>
    <xf numFmtId="167" fontId="3" fillId="7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164" fontId="6" fillId="12" borderId="1" xfId="0" applyNumberFormat="1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168" fontId="3" fillId="9" borderId="1" xfId="0" applyNumberFormat="1" applyFont="1" applyFill="1" applyBorder="1" applyAlignment="1">
      <alignment horizontal="center" vertical="center" wrapText="1"/>
    </xf>
    <xf numFmtId="165" fontId="3" fillId="9" borderId="1" xfId="0" applyNumberFormat="1" applyFont="1" applyFill="1" applyBorder="1" applyAlignment="1">
      <alignment horizontal="center" vertical="center" wrapText="1"/>
    </xf>
    <xf numFmtId="9" fontId="3" fillId="9" borderId="1" xfId="0" applyNumberFormat="1" applyFont="1" applyFill="1" applyBorder="1" applyAlignment="1">
      <alignment horizontal="center" vertical="center" wrapText="1"/>
    </xf>
    <xf numFmtId="166" fontId="3" fillId="9" borderId="1" xfId="0" applyNumberFormat="1" applyFont="1" applyFill="1" applyBorder="1" applyAlignment="1">
      <alignment horizontal="center" vertical="center" wrapText="1"/>
    </xf>
    <xf numFmtId="167" fontId="3" fillId="9" borderId="1" xfId="0" applyNumberFormat="1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164" fontId="3" fillId="10" borderId="1" xfId="0" applyNumberFormat="1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 wrapText="1"/>
    </xf>
    <xf numFmtId="168" fontId="3" fillId="12" borderId="1" xfId="0" applyNumberFormat="1" applyFont="1" applyFill="1" applyBorder="1" applyAlignment="1">
      <alignment horizontal="center" vertical="center" wrapText="1"/>
    </xf>
    <xf numFmtId="165" fontId="3" fillId="12" borderId="1" xfId="0" applyNumberFormat="1" applyFont="1" applyFill="1" applyBorder="1" applyAlignment="1">
      <alignment horizontal="center" vertical="center" wrapText="1"/>
    </xf>
    <xf numFmtId="9" fontId="3" fillId="12" borderId="1" xfId="0" applyNumberFormat="1" applyFont="1" applyFill="1" applyBorder="1" applyAlignment="1">
      <alignment horizontal="center" vertical="center" wrapText="1"/>
    </xf>
    <xf numFmtId="166" fontId="3" fillId="12" borderId="1" xfId="0" applyNumberFormat="1" applyFont="1" applyFill="1" applyBorder="1" applyAlignment="1">
      <alignment horizontal="center" vertical="center" wrapText="1"/>
    </xf>
    <xf numFmtId="167" fontId="3" fillId="12" borderId="1" xfId="0" applyNumberFormat="1" applyFont="1" applyFill="1" applyBorder="1" applyAlignment="1">
      <alignment horizontal="center" vertical="center" wrapText="1"/>
    </xf>
    <xf numFmtId="3" fontId="3" fillId="7" borderId="1" xfId="0" applyNumberFormat="1" applyFont="1" applyFill="1" applyBorder="1" applyAlignment="1">
      <alignment horizontal="center" vertical="center" wrapText="1"/>
    </xf>
    <xf numFmtId="9" fontId="3" fillId="7" borderId="1" xfId="0" applyNumberFormat="1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165" fontId="4" fillId="6" borderId="1" xfId="0" applyNumberFormat="1" applyFont="1" applyFill="1" applyBorder="1" applyAlignment="1">
      <alignment horizontal="center" vertical="center" wrapText="1"/>
    </xf>
    <xf numFmtId="9" fontId="4" fillId="6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5" fontId="6" fillId="6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F2F2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showGridLines="0" zoomScaleNormal="100" workbookViewId="0">
      <selection activeCell="C16" sqref="C16"/>
    </sheetView>
  </sheetViews>
  <sheetFormatPr defaultColWidth="8.7109375" defaultRowHeight="15" x14ac:dyDescent="0.25"/>
  <cols>
    <col min="1" max="1" width="28" customWidth="1"/>
    <col min="2" max="2" width="20" customWidth="1"/>
    <col min="3" max="3" width="43.28515625" customWidth="1"/>
  </cols>
  <sheetData>
    <row r="1" spans="1:3" ht="21.75" customHeight="1" x14ac:dyDescent="0.25">
      <c r="A1" s="8" t="s">
        <v>0</v>
      </c>
      <c r="B1" s="8"/>
      <c r="C1" s="8"/>
    </row>
    <row r="2" spans="1:3" ht="19.5" customHeight="1" x14ac:dyDescent="0.25">
      <c r="A2" s="9" t="s">
        <v>1</v>
      </c>
      <c r="B2" s="10"/>
      <c r="C2" s="11" t="s">
        <v>2</v>
      </c>
    </row>
    <row r="3" spans="1:3" ht="19.5" customHeight="1" x14ac:dyDescent="0.25">
      <c r="A3" s="12" t="s">
        <v>3</v>
      </c>
      <c r="B3" s="13">
        <v>22700</v>
      </c>
      <c r="C3" s="11" t="s">
        <v>4</v>
      </c>
    </row>
    <row r="4" spans="1:3" ht="19.5" customHeight="1" x14ac:dyDescent="0.25">
      <c r="A4" s="12" t="s">
        <v>5</v>
      </c>
      <c r="B4" s="14">
        <v>3.8E-3</v>
      </c>
      <c r="C4" s="11" t="s">
        <v>6</v>
      </c>
    </row>
    <row r="5" spans="1:3" ht="19.5" customHeight="1" x14ac:dyDescent="0.25">
      <c r="A5" s="12" t="s">
        <v>7</v>
      </c>
      <c r="B5" s="14">
        <v>0.14199999999999999</v>
      </c>
      <c r="C5" s="11" t="s">
        <v>8</v>
      </c>
    </row>
    <row r="6" spans="1:3" ht="19.5" customHeight="1" x14ac:dyDescent="0.25">
      <c r="A6" s="12" t="s">
        <v>9</v>
      </c>
      <c r="B6" s="13">
        <v>79408</v>
      </c>
      <c r="C6" s="11" t="s">
        <v>10</v>
      </c>
    </row>
    <row r="7" spans="1:3" ht="19.5" customHeight="1" x14ac:dyDescent="0.25">
      <c r="A7" s="12" t="s">
        <v>11</v>
      </c>
      <c r="B7" s="15">
        <v>-1.4E-3</v>
      </c>
      <c r="C7" s="11" t="s">
        <v>12</v>
      </c>
    </row>
    <row r="8" spans="1:3" ht="19.5" customHeight="1" x14ac:dyDescent="0.25">
      <c r="A8" s="12" t="s">
        <v>13</v>
      </c>
      <c r="B8" s="14">
        <v>0.13800000000000001</v>
      </c>
      <c r="C8" s="11" t="s">
        <v>12</v>
      </c>
    </row>
    <row r="9" spans="1:3" ht="19.5" customHeight="1" x14ac:dyDescent="0.25">
      <c r="A9" s="9" t="s">
        <v>14</v>
      </c>
      <c r="B9" s="10"/>
      <c r="C9" s="11"/>
    </row>
    <row r="10" spans="1:3" ht="19.5" customHeight="1" x14ac:dyDescent="0.25">
      <c r="A10" s="12" t="s">
        <v>15</v>
      </c>
      <c r="B10" s="14">
        <v>0.42</v>
      </c>
      <c r="C10" s="11" t="s">
        <v>16</v>
      </c>
    </row>
    <row r="11" spans="1:3" ht="19.5" customHeight="1" x14ac:dyDescent="0.25">
      <c r="A11" s="9" t="s">
        <v>17</v>
      </c>
      <c r="B11" s="10"/>
      <c r="C11" s="11"/>
    </row>
    <row r="12" spans="1:3" ht="19.5" customHeight="1" x14ac:dyDescent="0.25">
      <c r="A12" s="12" t="s">
        <v>207</v>
      </c>
      <c r="B12" s="15" t="s">
        <v>18</v>
      </c>
      <c r="C12" s="11" t="s">
        <v>19</v>
      </c>
    </row>
    <row r="13" spans="1:3" ht="19.5" customHeight="1" x14ac:dyDescent="0.25">
      <c r="A13" s="12" t="s">
        <v>20</v>
      </c>
      <c r="B13" s="15">
        <v>2</v>
      </c>
      <c r="C13" s="11" t="s">
        <v>21</v>
      </c>
    </row>
    <row r="14" spans="1:3" ht="19.5" customHeight="1" x14ac:dyDescent="0.25">
      <c r="A14" s="12" t="s">
        <v>208</v>
      </c>
      <c r="B14" s="60">
        <v>46121</v>
      </c>
      <c r="C14" s="11" t="s">
        <v>19</v>
      </c>
    </row>
    <row r="15" spans="1:3" ht="19.5" customHeight="1" x14ac:dyDescent="0.25">
      <c r="A15" s="12" t="s">
        <v>20</v>
      </c>
      <c r="B15" s="15">
        <v>2</v>
      </c>
      <c r="C15" s="11" t="s">
        <v>209</v>
      </c>
    </row>
    <row r="16" spans="1:3" ht="19.5" customHeight="1" x14ac:dyDescent="0.25">
      <c r="A16" s="9" t="s">
        <v>22</v>
      </c>
      <c r="B16" s="10"/>
      <c r="C16" s="11"/>
    </row>
    <row r="17" spans="1:3" ht="19.5" customHeight="1" x14ac:dyDescent="0.25">
      <c r="A17" s="12" t="s">
        <v>23</v>
      </c>
      <c r="B17" s="14">
        <v>0.2</v>
      </c>
      <c r="C17" s="11" t="s">
        <v>24</v>
      </c>
    </row>
    <row r="18" spans="1:3" ht="19.5" customHeight="1" x14ac:dyDescent="0.25">
      <c r="A18" s="12" t="s">
        <v>25</v>
      </c>
      <c r="B18" s="14">
        <v>0.8</v>
      </c>
      <c r="C18" s="11" t="s">
        <v>26</v>
      </c>
    </row>
    <row r="19" spans="1:3" ht="19.5" customHeight="1" x14ac:dyDescent="0.25">
      <c r="A19" s="12" t="s">
        <v>27</v>
      </c>
      <c r="B19" s="15">
        <v>65</v>
      </c>
      <c r="C19" s="11" t="s">
        <v>28</v>
      </c>
    </row>
    <row r="20" spans="1:3" ht="19.5" customHeight="1" x14ac:dyDescent="0.25">
      <c r="A20" s="12" t="s">
        <v>29</v>
      </c>
      <c r="B20" s="15" t="s">
        <v>30</v>
      </c>
      <c r="C20" s="11" t="s">
        <v>31</v>
      </c>
    </row>
    <row r="21" spans="1:3" ht="19.5" customHeight="1" x14ac:dyDescent="0.25">
      <c r="A21" s="12" t="s">
        <v>32</v>
      </c>
      <c r="B21" s="15">
        <v>12</v>
      </c>
      <c r="C21" s="11" t="s">
        <v>33</v>
      </c>
    </row>
    <row r="22" spans="1:3" ht="19.5" customHeight="1" x14ac:dyDescent="0.25">
      <c r="A22" s="9" t="s">
        <v>34</v>
      </c>
      <c r="B22" s="10"/>
      <c r="C22" s="11"/>
    </row>
    <row r="23" spans="1:3" ht="19.5" customHeight="1" x14ac:dyDescent="0.25">
      <c r="A23" s="12" t="s">
        <v>35</v>
      </c>
      <c r="B23" s="15" t="s">
        <v>36</v>
      </c>
      <c r="C23" s="11" t="s">
        <v>37</v>
      </c>
    </row>
    <row r="24" spans="1:3" ht="19.5" customHeight="1" x14ac:dyDescent="0.25">
      <c r="A24" s="12" t="s">
        <v>38</v>
      </c>
      <c r="B24" s="15">
        <v>65</v>
      </c>
      <c r="C24" s="11" t="s">
        <v>39</v>
      </c>
    </row>
    <row r="25" spans="1:3" ht="19.5" customHeight="1" x14ac:dyDescent="0.25">
      <c r="A25" s="12" t="s">
        <v>40</v>
      </c>
      <c r="B25" s="15">
        <v>20</v>
      </c>
      <c r="C25" s="11" t="s">
        <v>41</v>
      </c>
    </row>
    <row r="26" spans="1:3" ht="19.5" customHeight="1" x14ac:dyDescent="0.25">
      <c r="A26" s="12" t="s">
        <v>42</v>
      </c>
      <c r="B26" s="13">
        <v>500000</v>
      </c>
      <c r="C26" s="11" t="s">
        <v>43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2"/>
  <sheetViews>
    <sheetView showGridLines="0" zoomScaleNormal="100" workbookViewId="0">
      <pane ySplit="5" topLeftCell="A6" activePane="bottomLeft" state="frozen"/>
      <selection pane="bottomLeft" activeCell="B21" sqref="B21:L21"/>
    </sheetView>
  </sheetViews>
  <sheetFormatPr defaultColWidth="8.7109375" defaultRowHeight="15" x14ac:dyDescent="0.25"/>
  <cols>
    <col min="1" max="1" width="26" customWidth="1"/>
    <col min="2" max="11" width="14" customWidth="1"/>
    <col min="12" max="12" width="26" customWidth="1"/>
  </cols>
  <sheetData>
    <row r="1" spans="1:12" ht="27.75" customHeight="1" x14ac:dyDescent="0.25">
      <c r="A1" s="7" t="s">
        <v>44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9.75" customHeight="1" x14ac:dyDescent="0.25">
      <c r="A2" s="6" t="s">
        <v>45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ht="21.75" customHeight="1" x14ac:dyDescent="0.25">
      <c r="A3" s="16" t="s">
        <v>3</v>
      </c>
      <c r="B3" s="17">
        <f>Config!B3</f>
        <v>22700</v>
      </c>
      <c r="C3" s="16" t="s">
        <v>46</v>
      </c>
      <c r="D3" s="18">
        <f>Config!B4</f>
        <v>3.8E-3</v>
      </c>
      <c r="E3" s="16" t="s">
        <v>47</v>
      </c>
      <c r="F3" s="18">
        <f>Config!B5</f>
        <v>0.14199999999999999</v>
      </c>
      <c r="G3" s="16" t="s">
        <v>9</v>
      </c>
      <c r="H3" s="17">
        <f>Config!B7</f>
        <v>-1.4E-3</v>
      </c>
      <c r="I3" s="16" t="s">
        <v>48</v>
      </c>
      <c r="J3" s="18">
        <f>Config!B8</f>
        <v>0.13800000000000001</v>
      </c>
      <c r="K3" s="16" t="s">
        <v>49</v>
      </c>
      <c r="L3" s="18">
        <f>Config!B9</f>
        <v>0</v>
      </c>
    </row>
    <row r="4" spans="1:12" ht="30" customHeight="1" x14ac:dyDescent="0.25">
      <c r="A4" s="19" t="s">
        <v>50</v>
      </c>
      <c r="B4" s="19" t="s">
        <v>51</v>
      </c>
      <c r="C4" s="19" t="s">
        <v>52</v>
      </c>
      <c r="D4" s="19" t="s">
        <v>53</v>
      </c>
      <c r="E4" s="19" t="s">
        <v>54</v>
      </c>
      <c r="F4" s="19" t="s">
        <v>55</v>
      </c>
      <c r="G4" s="19" t="s">
        <v>56</v>
      </c>
      <c r="H4" s="19" t="s">
        <v>27</v>
      </c>
      <c r="I4" s="19" t="s">
        <v>57</v>
      </c>
      <c r="J4" s="19"/>
      <c r="K4" s="19"/>
      <c r="L4" s="19"/>
    </row>
    <row r="5" spans="1:12" ht="21.75" customHeight="1" x14ac:dyDescent="0.25">
      <c r="A5" s="15" t="s">
        <v>36</v>
      </c>
      <c r="B5" s="15" t="s">
        <v>58</v>
      </c>
      <c r="C5" s="15" t="s">
        <v>59</v>
      </c>
      <c r="D5" s="15">
        <v>12</v>
      </c>
      <c r="E5" s="20">
        <v>20</v>
      </c>
      <c r="F5" s="20">
        <v>80</v>
      </c>
      <c r="G5" s="15" t="s">
        <v>30</v>
      </c>
      <c r="H5" s="15">
        <v>65</v>
      </c>
      <c r="I5" s="15" t="s">
        <v>60</v>
      </c>
      <c r="J5" s="15"/>
      <c r="K5" s="15"/>
      <c r="L5" s="15"/>
    </row>
    <row r="6" spans="1:12" ht="36" customHeight="1" x14ac:dyDescent="0.25">
      <c r="A6" s="21" t="s">
        <v>61</v>
      </c>
      <c r="B6" s="21" t="s">
        <v>62</v>
      </c>
      <c r="C6" s="21" t="s">
        <v>63</v>
      </c>
      <c r="D6" s="21" t="s">
        <v>64</v>
      </c>
      <c r="E6" s="21" t="s">
        <v>65</v>
      </c>
      <c r="F6" s="21" t="s">
        <v>66</v>
      </c>
      <c r="G6" s="21" t="s">
        <v>67</v>
      </c>
      <c r="H6" s="21" t="s">
        <v>68</v>
      </c>
      <c r="I6" s="21" t="s">
        <v>69</v>
      </c>
      <c r="J6" s="21" t="s">
        <v>70</v>
      </c>
      <c r="K6" s="21" t="s">
        <v>71</v>
      </c>
      <c r="L6" s="21" t="s">
        <v>72</v>
      </c>
    </row>
    <row r="7" spans="1:12" ht="13.5" customHeight="1" x14ac:dyDescent="0.25">
      <c r="A7" s="5" t="s">
        <v>73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</row>
    <row r="8" spans="1:12" ht="19.5" customHeight="1" x14ac:dyDescent="0.25">
      <c r="A8" s="22" t="s">
        <v>74</v>
      </c>
      <c r="B8" s="23">
        <v>16840</v>
      </c>
      <c r="C8" s="23">
        <v>1980</v>
      </c>
      <c r="D8" s="24">
        <f>B8-C8</f>
        <v>14860</v>
      </c>
      <c r="E8" s="25">
        <f>IFERROR(D8/(Config!B26*Config!B21),0)</f>
        <v>2.4766666666666665E-3</v>
      </c>
      <c r="F8" s="25">
        <f>IFERROR(D8/Config!B26,0)</f>
        <v>2.972E-2</v>
      </c>
      <c r="G8" s="26">
        <v>-5613</v>
      </c>
      <c r="H8" s="25">
        <f>IFERROR(G8/(Config!B26*Config!B21),0)</f>
        <v>-9.3550000000000003E-4</v>
      </c>
      <c r="I8" s="23">
        <v>-340</v>
      </c>
      <c r="J8" s="23">
        <v>620</v>
      </c>
      <c r="K8" s="27">
        <f>J8/ABS(I8)</f>
        <v>1.8235294117647058</v>
      </c>
      <c r="L8" s="28">
        <f>MIN(100,ROUND(J8/ABS(I8)*30+50,0))</f>
        <v>100</v>
      </c>
    </row>
    <row r="9" spans="1:12" ht="19.5" customHeight="1" x14ac:dyDescent="0.25">
      <c r="A9" s="22" t="s">
        <v>75</v>
      </c>
      <c r="B9" s="23">
        <v>20480</v>
      </c>
      <c r="C9" s="23">
        <v>2060</v>
      </c>
      <c r="D9" s="24">
        <f>B9-C9</f>
        <v>18420</v>
      </c>
      <c r="E9" s="25">
        <f>IFERROR(D9/(Config!B26*Config!B21),0)</f>
        <v>3.0699999999999998E-3</v>
      </c>
      <c r="F9" s="25">
        <f>IFERROR(D9/Config!B26,0)</f>
        <v>3.6839999999999998E-2</v>
      </c>
      <c r="G9" s="26">
        <v>-6826</v>
      </c>
      <c r="H9" s="25">
        <f>IFERROR(G9/(Config!B26*Config!B21),0)</f>
        <v>-1.1376666666666666E-3</v>
      </c>
      <c r="I9" s="23">
        <v>-290</v>
      </c>
      <c r="J9" s="23">
        <v>510</v>
      </c>
      <c r="K9" s="27">
        <f>J9/ABS(I9)</f>
        <v>1.7586206896551724</v>
      </c>
      <c r="L9" s="28">
        <f>MIN(100,ROUND(J9/ABS(I9)*30+50,0))</f>
        <v>100</v>
      </c>
    </row>
    <row r="10" spans="1:12" ht="19.5" customHeight="1" x14ac:dyDescent="0.25">
      <c r="A10" s="29" t="s">
        <v>76</v>
      </c>
      <c r="B10" s="23">
        <v>24960</v>
      </c>
      <c r="C10" s="23">
        <v>2200</v>
      </c>
      <c r="D10" s="24">
        <f>B10-C10</f>
        <v>22760</v>
      </c>
      <c r="E10" s="25">
        <f>IFERROR(D10/(Config!B26*Config!B21),0)</f>
        <v>3.7933333333333335E-3</v>
      </c>
      <c r="F10" s="25">
        <f>IFERROR(D10/Config!B26,0)</f>
        <v>4.5519999999999998E-2</v>
      </c>
      <c r="G10" s="26">
        <v>-8320</v>
      </c>
      <c r="H10" s="25">
        <f>IFERROR(G10/(Config!B26*Config!B21),0)</f>
        <v>-1.3866666666666667E-3</v>
      </c>
      <c r="I10" s="23">
        <v>-220</v>
      </c>
      <c r="J10" s="23">
        <v>440</v>
      </c>
      <c r="K10" s="27">
        <f>J10/ABS(I10)</f>
        <v>2</v>
      </c>
      <c r="L10" s="28">
        <f>MIN(100,ROUND(J10/ABS(I10)*30+50,0))</f>
        <v>100</v>
      </c>
    </row>
    <row r="11" spans="1:12" ht="19.5" customHeight="1" x14ac:dyDescent="0.25">
      <c r="A11" s="22" t="s">
        <v>77</v>
      </c>
      <c r="B11" s="23">
        <v>18700</v>
      </c>
      <c r="C11" s="23">
        <v>2110</v>
      </c>
      <c r="D11" s="24">
        <f>B11-C11</f>
        <v>16590</v>
      </c>
      <c r="E11" s="25">
        <f>IFERROR(D11/(Config!B26*Config!B21),0)</f>
        <v>2.7650000000000001E-3</v>
      </c>
      <c r="F11" s="25">
        <f>IFERROR(D11/Config!B26,0)</f>
        <v>3.3180000000000001E-2</v>
      </c>
      <c r="G11" s="26">
        <v>-6233</v>
      </c>
      <c r="H11" s="25">
        <f>IFERROR(G11/(Config!B26*Config!B21),0)</f>
        <v>-1.0388333333333332E-3</v>
      </c>
      <c r="I11" s="23">
        <v>-160</v>
      </c>
      <c r="J11" s="23">
        <v>370</v>
      </c>
      <c r="K11" s="27">
        <f>J11/ABS(I11)</f>
        <v>2.3125</v>
      </c>
      <c r="L11" s="28">
        <f>MIN(100,ROUND(J11/ABS(I11)*30+50,0))</f>
        <v>100</v>
      </c>
    </row>
    <row r="12" spans="1:12" ht="19.5" customHeight="1" x14ac:dyDescent="0.25">
      <c r="A12" s="22" t="s">
        <v>78</v>
      </c>
      <c r="B12" s="23">
        <v>11200</v>
      </c>
      <c r="C12" s="23">
        <v>2010</v>
      </c>
      <c r="D12" s="24">
        <f>B12-C12</f>
        <v>9190</v>
      </c>
      <c r="E12" s="25">
        <f>IFERROR(D12/(Config!B26*Config!B21),0)</f>
        <v>1.5316666666666666E-3</v>
      </c>
      <c r="F12" s="25">
        <f>IFERROR(D12/Config!B26,0)</f>
        <v>1.8380000000000001E-2</v>
      </c>
      <c r="G12" s="26">
        <v>-3733</v>
      </c>
      <c r="H12" s="25">
        <f>IFERROR(G12/(Config!B26*Config!B21),0)</f>
        <v>-6.221666666666667E-4</v>
      </c>
      <c r="I12" s="23">
        <v>-110</v>
      </c>
      <c r="J12" s="23">
        <v>290</v>
      </c>
      <c r="K12" s="27">
        <f>J12/ABS(I12)</f>
        <v>2.6363636363636362</v>
      </c>
      <c r="L12" s="28">
        <f>MIN(100,ROUND(J12/ABS(I12)*30+50,0))</f>
        <v>100</v>
      </c>
    </row>
    <row r="13" spans="1:12" ht="13.5" customHeight="1" x14ac:dyDescent="0.25">
      <c r="A13" s="4" t="s">
        <v>79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 ht="19.5" customHeight="1" x14ac:dyDescent="0.25">
      <c r="A14" s="30" t="s">
        <v>74</v>
      </c>
      <c r="B14" s="31">
        <v>9200</v>
      </c>
      <c r="C14" s="31">
        <v>1050</v>
      </c>
      <c r="D14" s="24">
        <f>B14-C14</f>
        <v>8150</v>
      </c>
      <c r="E14" s="25">
        <f>IFERROR(D14/(Config!B26*Config!B21),0)</f>
        <v>1.3583333333333334E-3</v>
      </c>
      <c r="F14" s="25">
        <f>IFERROR(D14/Config!B26,0)</f>
        <v>1.6299999999999999E-2</v>
      </c>
      <c r="G14" s="26">
        <v>-3066</v>
      </c>
      <c r="H14" s="25">
        <f>IFERROR(G14/(Config!B26*Config!B21),0)</f>
        <v>-5.1099999999999995E-4</v>
      </c>
      <c r="I14" s="31">
        <v>-180</v>
      </c>
      <c r="J14" s="31">
        <v>340</v>
      </c>
      <c r="K14" s="27">
        <f>J14/ABS(I14)</f>
        <v>1.8888888888888888</v>
      </c>
      <c r="L14" s="28">
        <f>MIN(100,ROUND(J14/ABS(I14)*30+50,0))</f>
        <v>100</v>
      </c>
    </row>
    <row r="15" spans="1:12" ht="19.5" customHeight="1" x14ac:dyDescent="0.25">
      <c r="A15" s="30" t="s">
        <v>75</v>
      </c>
      <c r="B15" s="31">
        <v>11600</v>
      </c>
      <c r="C15" s="31">
        <v>1100</v>
      </c>
      <c r="D15" s="24">
        <f>B15-C15</f>
        <v>10500</v>
      </c>
      <c r="E15" s="25">
        <f>IFERROR(D15/(Config!B26*Config!B21),0)</f>
        <v>1.75E-3</v>
      </c>
      <c r="F15" s="25">
        <f>IFERROR(D15/Config!B26,0)</f>
        <v>2.1000000000000001E-2</v>
      </c>
      <c r="G15" s="26">
        <v>-3866</v>
      </c>
      <c r="H15" s="25">
        <f>IFERROR(G15/(Config!B26*Config!B21),0)</f>
        <v>-6.4433333333333335E-4</v>
      </c>
      <c r="I15" s="31">
        <v>-150</v>
      </c>
      <c r="J15" s="31">
        <v>280</v>
      </c>
      <c r="K15" s="27">
        <f>J15/ABS(I15)</f>
        <v>1.8666666666666667</v>
      </c>
      <c r="L15" s="28">
        <f>MIN(100,ROUND(J15/ABS(I15)*30+50,0))</f>
        <v>100</v>
      </c>
    </row>
    <row r="16" spans="1:12" ht="19.5" customHeight="1" x14ac:dyDescent="0.25">
      <c r="A16" s="32" t="s">
        <v>76</v>
      </c>
      <c r="B16" s="31">
        <v>13800</v>
      </c>
      <c r="C16" s="31">
        <v>1160</v>
      </c>
      <c r="D16" s="24">
        <f>B16-C16</f>
        <v>12640</v>
      </c>
      <c r="E16" s="25">
        <f>IFERROR(D16/(Config!B26*Config!B21),0)</f>
        <v>2.1066666666666668E-3</v>
      </c>
      <c r="F16" s="25">
        <f>IFERROR(D16/Config!B26,0)</f>
        <v>2.528E-2</v>
      </c>
      <c r="G16" s="26">
        <v>-4600</v>
      </c>
      <c r="H16" s="25">
        <f>IFERROR(G16/(Config!B26*Config!B21),0)</f>
        <v>-7.6666666666666669E-4</v>
      </c>
      <c r="I16" s="31">
        <v>-110</v>
      </c>
      <c r="J16" s="31">
        <v>230</v>
      </c>
      <c r="K16" s="27">
        <f>J16/ABS(I16)</f>
        <v>2.0909090909090908</v>
      </c>
      <c r="L16" s="28">
        <f>MIN(100,ROUND(J16/ABS(I16)*30+50,0))</f>
        <v>100</v>
      </c>
    </row>
    <row r="17" spans="1:12" ht="19.5" customHeight="1" x14ac:dyDescent="0.25">
      <c r="A17" s="30" t="s">
        <v>77</v>
      </c>
      <c r="B17" s="31">
        <v>10400</v>
      </c>
      <c r="C17" s="31">
        <v>1120</v>
      </c>
      <c r="D17" s="24">
        <f>B17-C17</f>
        <v>9280</v>
      </c>
      <c r="E17" s="25">
        <f>IFERROR(D17/(Config!B26*Config!B21),0)</f>
        <v>1.5466666666666667E-3</v>
      </c>
      <c r="F17" s="25">
        <f>IFERROR(D17/Config!B26,0)</f>
        <v>1.856E-2</v>
      </c>
      <c r="G17" s="26">
        <v>-3466</v>
      </c>
      <c r="H17" s="25">
        <f>IFERROR(G17/(Config!B26*Config!B21),0)</f>
        <v>-5.7766666666666665E-4</v>
      </c>
      <c r="I17" s="31">
        <v>-90</v>
      </c>
      <c r="J17" s="31">
        <v>200</v>
      </c>
      <c r="K17" s="27">
        <f>J17/ABS(I17)</f>
        <v>2.2222222222222223</v>
      </c>
      <c r="L17" s="28">
        <f>MIN(100,ROUND(J17/ABS(I17)*30+50,0))</f>
        <v>100</v>
      </c>
    </row>
    <row r="18" spans="1:12" ht="19.5" customHeight="1" x14ac:dyDescent="0.25">
      <c r="A18" s="30" t="s">
        <v>78</v>
      </c>
      <c r="B18" s="31">
        <v>6800</v>
      </c>
      <c r="C18" s="31">
        <v>1080</v>
      </c>
      <c r="D18" s="24">
        <f>B18-C18</f>
        <v>5720</v>
      </c>
      <c r="E18" s="25">
        <f>IFERROR(D18/(Config!B26*Config!B21),0)</f>
        <v>9.5333333333333338E-4</v>
      </c>
      <c r="F18" s="25">
        <f>IFERROR(D18/Config!B26,0)</f>
        <v>1.1440000000000001E-2</v>
      </c>
      <c r="G18" s="26">
        <v>-2266</v>
      </c>
      <c r="H18" s="25">
        <f>IFERROR(G18/(Config!B26*Config!B21),0)</f>
        <v>-3.7766666666666667E-4</v>
      </c>
      <c r="I18" s="31">
        <v>-60</v>
      </c>
      <c r="J18" s="31">
        <v>160</v>
      </c>
      <c r="K18" s="27">
        <f>J18/ABS(I18)</f>
        <v>2.6666666666666665</v>
      </c>
      <c r="L18" s="28">
        <f>MIN(100,ROUND(J18/ABS(I18)*30+50,0))</f>
        <v>100</v>
      </c>
    </row>
    <row r="20" spans="1:12" ht="13.5" customHeight="1" x14ac:dyDescent="0.25">
      <c r="A20" s="3" t="s">
        <v>80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1:12" ht="27.75" customHeight="1" x14ac:dyDescent="0.25">
      <c r="A21" s="33" t="s">
        <v>65</v>
      </c>
      <c r="B21" s="2" t="s">
        <v>81</v>
      </c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ht="27.75" customHeight="1" x14ac:dyDescent="0.25">
      <c r="A22" s="33" t="s">
        <v>68</v>
      </c>
      <c r="B22" s="2" t="s">
        <v>82</v>
      </c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ht="27.75" customHeight="1" x14ac:dyDescent="0.25">
      <c r="A23" s="33" t="s">
        <v>69</v>
      </c>
      <c r="B23" s="2" t="s">
        <v>83</v>
      </c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ht="27.75" customHeight="1" x14ac:dyDescent="0.25">
      <c r="A24" s="33" t="s">
        <v>70</v>
      </c>
      <c r="B24" s="2" t="s">
        <v>84</v>
      </c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ht="27.75" customHeight="1" x14ac:dyDescent="0.25">
      <c r="A25" s="33" t="s">
        <v>85</v>
      </c>
      <c r="B25" s="2" t="s">
        <v>86</v>
      </c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ht="27.75" customHeight="1" x14ac:dyDescent="0.25">
      <c r="A26" s="33" t="s">
        <v>87</v>
      </c>
      <c r="B26" s="2" t="s">
        <v>88</v>
      </c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ht="27.75" customHeight="1" x14ac:dyDescent="0.25">
      <c r="A27" s="33" t="s">
        <v>89</v>
      </c>
      <c r="B27" s="2" t="s">
        <v>90</v>
      </c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ht="27.75" customHeight="1" x14ac:dyDescent="0.25">
      <c r="A28" s="33" t="s">
        <v>91</v>
      </c>
      <c r="B28" s="2" t="s">
        <v>92</v>
      </c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ht="27.75" customHeight="1" x14ac:dyDescent="0.25">
      <c r="A29" s="33" t="s">
        <v>93</v>
      </c>
      <c r="B29" s="2" t="s">
        <v>94</v>
      </c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ht="27.75" customHeight="1" x14ac:dyDescent="0.25">
      <c r="A30" s="33" t="s">
        <v>95</v>
      </c>
      <c r="B30" s="2" t="s">
        <v>96</v>
      </c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ht="27.75" customHeight="1" x14ac:dyDescent="0.25">
      <c r="A31" s="33" t="s">
        <v>97</v>
      </c>
      <c r="B31" s="2" t="s">
        <v>98</v>
      </c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ht="27.75" customHeight="1" x14ac:dyDescent="0.25">
      <c r="A32" s="33" t="s">
        <v>99</v>
      </c>
      <c r="B32" s="2" t="s">
        <v>100</v>
      </c>
      <c r="C32" s="2"/>
      <c r="D32" s="2"/>
      <c r="E32" s="2"/>
      <c r="F32" s="2"/>
      <c r="G32" s="2"/>
      <c r="H32" s="2"/>
      <c r="I32" s="2"/>
      <c r="J32" s="2"/>
      <c r="K32" s="2"/>
      <c r="L32" s="2"/>
    </row>
  </sheetData>
  <mergeCells count="17">
    <mergeCell ref="B31:L31"/>
    <mergeCell ref="B32:L32"/>
    <mergeCell ref="B26:L26"/>
    <mergeCell ref="B27:L27"/>
    <mergeCell ref="B28:L28"/>
    <mergeCell ref="B29:L29"/>
    <mergeCell ref="B30:L30"/>
    <mergeCell ref="B21:L21"/>
    <mergeCell ref="B22:L22"/>
    <mergeCell ref="B23:L23"/>
    <mergeCell ref="B24:L24"/>
    <mergeCell ref="B25:L25"/>
    <mergeCell ref="A1:L1"/>
    <mergeCell ref="A2:L2"/>
    <mergeCell ref="A7:L7"/>
    <mergeCell ref="A13:L13"/>
    <mergeCell ref="A20:L2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3"/>
  <sheetViews>
    <sheetView showGridLines="0" tabSelected="1" zoomScaleNormal="100" workbookViewId="0">
      <pane xSplit="1" ySplit="6" topLeftCell="B8" activePane="bottomRight" state="frozen"/>
      <selection pane="topRight" activeCell="B1" sqref="B1"/>
      <selection pane="bottomLeft" activeCell="A7" sqref="A7"/>
      <selection pane="bottomRight" activeCell="B10" sqref="B10"/>
    </sheetView>
  </sheetViews>
  <sheetFormatPr defaultColWidth="8.7109375" defaultRowHeight="15" x14ac:dyDescent="0.25"/>
  <cols>
    <col min="1" max="1" width="22" customWidth="1"/>
    <col min="2" max="6" width="12" customWidth="1"/>
    <col min="7" max="7" width="36.5703125" customWidth="1"/>
  </cols>
  <sheetData>
    <row r="1" spans="1:7" ht="27.75" customHeight="1" x14ac:dyDescent="0.25">
      <c r="A1" s="7" t="s">
        <v>101</v>
      </c>
      <c r="B1" s="7"/>
      <c r="C1" s="7"/>
      <c r="D1" s="7"/>
      <c r="E1" s="7"/>
      <c r="F1" s="7"/>
      <c r="G1" s="7"/>
    </row>
    <row r="2" spans="1:7" ht="39.75" customHeight="1" x14ac:dyDescent="0.25">
      <c r="A2" s="6" t="s">
        <v>102</v>
      </c>
      <c r="B2" s="6"/>
      <c r="C2" s="6"/>
      <c r="D2" s="6"/>
      <c r="E2" s="6"/>
      <c r="F2" s="6"/>
      <c r="G2" s="6"/>
    </row>
    <row r="3" spans="1:7" ht="21.75" customHeight="1" x14ac:dyDescent="0.25">
      <c r="A3" s="16" t="s">
        <v>3</v>
      </c>
      <c r="B3" s="17">
        <f>Config!B3</f>
        <v>22700</v>
      </c>
      <c r="C3" s="16" t="s">
        <v>47</v>
      </c>
      <c r="D3" s="18">
        <f>Config!B5</f>
        <v>0.14199999999999999</v>
      </c>
      <c r="E3" s="16" t="s">
        <v>9</v>
      </c>
      <c r="F3" s="17">
        <f>Config!B7</f>
        <v>-1.4E-3</v>
      </c>
      <c r="G3" s="34" t="s">
        <v>103</v>
      </c>
    </row>
    <row r="4" spans="1:7" ht="19.5" customHeight="1" x14ac:dyDescent="0.25">
      <c r="A4" s="16" t="s">
        <v>104</v>
      </c>
      <c r="B4" s="35" t="str">
        <f>Config!B12</f>
        <v>7-Apr-2026</v>
      </c>
      <c r="C4" s="16" t="s">
        <v>105</v>
      </c>
      <c r="D4" s="35">
        <f>Config!B13</f>
        <v>2</v>
      </c>
      <c r="E4" s="16" t="s">
        <v>106</v>
      </c>
      <c r="F4" s="24">
        <f>Config!B6</f>
        <v>79408</v>
      </c>
      <c r="G4" s="16" t="s">
        <v>107</v>
      </c>
    </row>
    <row r="5" spans="1:7" ht="31.5" customHeight="1" x14ac:dyDescent="0.25">
      <c r="A5" s="36" t="s">
        <v>108</v>
      </c>
      <c r="B5" s="36" t="s">
        <v>109</v>
      </c>
      <c r="C5" s="36" t="s">
        <v>110</v>
      </c>
      <c r="D5" s="36" t="s">
        <v>111</v>
      </c>
      <c r="E5" s="36" t="s">
        <v>112</v>
      </c>
      <c r="F5" s="36" t="s">
        <v>113</v>
      </c>
      <c r="G5" s="36"/>
    </row>
    <row r="6" spans="1:7" ht="19.5" customHeight="1" x14ac:dyDescent="0.25">
      <c r="A6" s="12" t="s">
        <v>114</v>
      </c>
      <c r="B6" s="37">
        <v>8</v>
      </c>
      <c r="C6" s="37">
        <v>14</v>
      </c>
      <c r="D6" s="37">
        <v>22</v>
      </c>
      <c r="E6" s="37">
        <v>38</v>
      </c>
      <c r="F6" s="37">
        <v>64</v>
      </c>
      <c r="G6" s="11" t="s">
        <v>115</v>
      </c>
    </row>
    <row r="7" spans="1:7" ht="19.5" customHeight="1" x14ac:dyDescent="0.25">
      <c r="A7" s="12" t="s">
        <v>116</v>
      </c>
      <c r="B7" s="37">
        <f>IFERROR(B6*65,0)</f>
        <v>520</v>
      </c>
      <c r="C7" s="37">
        <f>IFERROR(C6*65,0)</f>
        <v>910</v>
      </c>
      <c r="D7" s="37">
        <f>IFERROR(D6*65,0)</f>
        <v>1430</v>
      </c>
      <c r="E7" s="37">
        <f>IFERROR(E6*65,0)</f>
        <v>2470</v>
      </c>
      <c r="F7" s="37">
        <f>IFERROR(F6*65,0)</f>
        <v>4160</v>
      </c>
      <c r="G7" s="11" t="s">
        <v>117</v>
      </c>
    </row>
    <row r="8" spans="1:7" ht="35.25" customHeight="1" x14ac:dyDescent="0.25">
      <c r="A8" s="12" t="s">
        <v>118</v>
      </c>
      <c r="B8" s="37">
        <v>28400</v>
      </c>
      <c r="C8" s="37">
        <v>29100</v>
      </c>
      <c r="D8" s="37">
        <v>30200</v>
      </c>
      <c r="E8" s="37">
        <v>31800</v>
      </c>
      <c r="F8" s="37">
        <v>33600</v>
      </c>
      <c r="G8" s="11" t="s">
        <v>119</v>
      </c>
    </row>
    <row r="9" spans="1:7" ht="19.5" customHeight="1" x14ac:dyDescent="0.25">
      <c r="A9" s="12" t="s">
        <v>120</v>
      </c>
      <c r="B9" s="38">
        <f>IFERROR(B7/B8,0)</f>
        <v>1.8309859154929577E-2</v>
      </c>
      <c r="C9" s="38">
        <f>IFERROR(C7/C8,0)</f>
        <v>3.127147766323024E-2</v>
      </c>
      <c r="D9" s="38">
        <f>IFERROR(D7/D8,0)</f>
        <v>4.7350993377483441E-2</v>
      </c>
      <c r="E9" s="38">
        <f>IFERROR(E7/E8,0)</f>
        <v>7.7672955974842764E-2</v>
      </c>
      <c r="F9" s="38">
        <f>IFERROR(F7/F8,0)</f>
        <v>0.12380952380952381</v>
      </c>
      <c r="G9" s="11" t="s">
        <v>121</v>
      </c>
    </row>
    <row r="10" spans="1:7" ht="19.5" customHeight="1" x14ac:dyDescent="0.25">
      <c r="A10" s="12" t="s">
        <v>122</v>
      </c>
      <c r="B10" s="39">
        <v>94</v>
      </c>
      <c r="C10" s="39">
        <v>91</v>
      </c>
      <c r="D10" s="39">
        <v>86</v>
      </c>
      <c r="E10" s="39">
        <v>78</v>
      </c>
      <c r="F10" s="39">
        <v>66</v>
      </c>
      <c r="G10" s="11" t="s">
        <v>123</v>
      </c>
    </row>
    <row r="11" spans="1:7" ht="19.5" customHeight="1" x14ac:dyDescent="0.25">
      <c r="A11" s="12" t="s">
        <v>85</v>
      </c>
      <c r="B11" s="40">
        <v>2.8</v>
      </c>
      <c r="C11" s="40">
        <v>2.2999999999999998</v>
      </c>
      <c r="D11" s="40">
        <v>1.7</v>
      </c>
      <c r="E11" s="40">
        <v>1.2</v>
      </c>
      <c r="F11" s="40">
        <v>0.8</v>
      </c>
      <c r="G11" s="11" t="s">
        <v>124</v>
      </c>
    </row>
    <row r="12" spans="1:7" ht="19.5" customHeight="1" x14ac:dyDescent="0.25">
      <c r="A12" s="12" t="s">
        <v>87</v>
      </c>
      <c r="B12" s="41">
        <v>71</v>
      </c>
      <c r="C12" s="41">
        <v>66</v>
      </c>
      <c r="D12" s="41">
        <v>59</v>
      </c>
      <c r="E12" s="41">
        <v>52</v>
      </c>
      <c r="F12" s="41">
        <v>41</v>
      </c>
      <c r="G12" s="11" t="s">
        <v>125</v>
      </c>
    </row>
    <row r="13" spans="1:7" ht="19.5" customHeight="1" x14ac:dyDescent="0.25">
      <c r="A13" s="12" t="s">
        <v>126</v>
      </c>
      <c r="B13" s="42" t="s">
        <v>127</v>
      </c>
      <c r="C13" s="42" t="s">
        <v>127</v>
      </c>
      <c r="D13" s="43" t="s">
        <v>128</v>
      </c>
      <c r="E13" s="43" t="s">
        <v>128</v>
      </c>
      <c r="F13" s="44" t="s">
        <v>129</v>
      </c>
      <c r="G13" s="11" t="s">
        <v>130</v>
      </c>
    </row>
    <row r="14" spans="1:7" ht="19.5" customHeight="1" x14ac:dyDescent="0.25">
      <c r="A14" s="12" t="s">
        <v>131</v>
      </c>
      <c r="B14" s="45"/>
      <c r="C14" s="45"/>
      <c r="D14" s="45"/>
      <c r="E14" s="45"/>
      <c r="F14" s="45"/>
      <c r="G14" s="11" t="s">
        <v>132</v>
      </c>
    </row>
    <row r="16" spans="1:7" ht="28.5" customHeight="1" x14ac:dyDescent="0.25">
      <c r="A16" s="46" t="s">
        <v>133</v>
      </c>
      <c r="B16" s="46" t="s">
        <v>134</v>
      </c>
      <c r="C16" s="46" t="s">
        <v>135</v>
      </c>
      <c r="D16" s="46" t="s">
        <v>136</v>
      </c>
      <c r="E16" s="46" t="s">
        <v>137</v>
      </c>
      <c r="F16" s="46" t="s">
        <v>138</v>
      </c>
      <c r="G16" s="46" t="s">
        <v>139</v>
      </c>
    </row>
    <row r="17" spans="1:7" ht="19.5" customHeight="1" x14ac:dyDescent="0.25">
      <c r="A17" s="12" t="s">
        <v>114</v>
      </c>
      <c r="B17" s="47">
        <v>58</v>
      </c>
      <c r="C17" s="47">
        <v>34</v>
      </c>
      <c r="D17" s="47">
        <v>19</v>
      </c>
      <c r="E17" s="47">
        <v>10</v>
      </c>
      <c r="F17" s="47">
        <v>15</v>
      </c>
      <c r="G17" s="11" t="s">
        <v>115</v>
      </c>
    </row>
    <row r="18" spans="1:7" ht="19.5" customHeight="1" x14ac:dyDescent="0.25">
      <c r="A18" s="12" t="s">
        <v>116</v>
      </c>
      <c r="B18" s="47">
        <f>IFERROR(B17*65,0)</f>
        <v>3770</v>
      </c>
      <c r="C18" s="47">
        <f>IFERROR(C17*65,0)</f>
        <v>2210</v>
      </c>
      <c r="D18" s="47">
        <f>IFERROR(D17*65,0)</f>
        <v>1235</v>
      </c>
      <c r="E18" s="47">
        <f>IFERROR(E17*65,0)</f>
        <v>650</v>
      </c>
      <c r="F18" s="47">
        <f>IFERROR(F17*65,0)</f>
        <v>975</v>
      </c>
      <c r="G18" s="11" t="s">
        <v>117</v>
      </c>
    </row>
    <row r="19" spans="1:7" ht="19.5" customHeight="1" x14ac:dyDescent="0.25">
      <c r="A19" s="12" t="s">
        <v>118</v>
      </c>
      <c r="B19" s="47">
        <v>34200</v>
      </c>
      <c r="C19" s="47">
        <v>32800</v>
      </c>
      <c r="D19" s="47">
        <v>31400</v>
      </c>
      <c r="E19" s="47">
        <v>29900</v>
      </c>
      <c r="F19" s="47">
        <v>28600</v>
      </c>
      <c r="G19" s="11" t="s">
        <v>119</v>
      </c>
    </row>
    <row r="20" spans="1:7" ht="19.5" customHeight="1" x14ac:dyDescent="0.25">
      <c r="A20" s="12" t="s">
        <v>120</v>
      </c>
      <c r="B20" s="48">
        <f>IFERROR(B18/B19,0)</f>
        <v>0.11023391812865498</v>
      </c>
      <c r="C20" s="48">
        <f>IFERROR(C18/C19,0)</f>
        <v>6.7378048780487809E-2</v>
      </c>
      <c r="D20" s="48">
        <f>IFERROR(D18/D19,0)</f>
        <v>3.9331210191082801E-2</v>
      </c>
      <c r="E20" s="48">
        <f>IFERROR(E18/E19,0)</f>
        <v>2.1739130434782608E-2</v>
      </c>
      <c r="F20" s="48">
        <f>IFERROR(F18/F19,0)</f>
        <v>3.4090909090909088E-2</v>
      </c>
      <c r="G20" s="11" t="s">
        <v>121</v>
      </c>
    </row>
    <row r="21" spans="1:7" ht="19.5" customHeight="1" x14ac:dyDescent="0.25">
      <c r="A21" s="12" t="s">
        <v>122</v>
      </c>
      <c r="B21" s="49">
        <v>72</v>
      </c>
      <c r="C21" s="49">
        <v>83</v>
      </c>
      <c r="D21" s="49">
        <v>91</v>
      </c>
      <c r="E21" s="49">
        <v>96</v>
      </c>
      <c r="F21" s="49">
        <v>99</v>
      </c>
      <c r="G21" s="11" t="s">
        <v>123</v>
      </c>
    </row>
    <row r="22" spans="1:7" ht="19.5" customHeight="1" x14ac:dyDescent="0.25">
      <c r="A22" s="12" t="s">
        <v>85</v>
      </c>
      <c r="B22" s="50">
        <v>0.9</v>
      </c>
      <c r="C22" s="50">
        <v>1.4</v>
      </c>
      <c r="D22" s="50">
        <v>2.1</v>
      </c>
      <c r="E22" s="50">
        <v>2.9</v>
      </c>
      <c r="F22" s="50">
        <v>3.1</v>
      </c>
      <c r="G22" s="11" t="s">
        <v>124</v>
      </c>
    </row>
    <row r="23" spans="1:7" ht="19.5" customHeight="1" x14ac:dyDescent="0.25">
      <c r="A23" s="12" t="s">
        <v>87</v>
      </c>
      <c r="B23" s="51">
        <v>48</v>
      </c>
      <c r="C23" s="51">
        <v>58</v>
      </c>
      <c r="D23" s="51">
        <v>67</v>
      </c>
      <c r="E23" s="51">
        <v>76</v>
      </c>
      <c r="F23" s="51">
        <v>84</v>
      </c>
      <c r="G23" s="11" t="s">
        <v>125</v>
      </c>
    </row>
    <row r="24" spans="1:7" ht="19.5" customHeight="1" x14ac:dyDescent="0.25">
      <c r="A24" s="12" t="s">
        <v>126</v>
      </c>
      <c r="B24" s="44" t="s">
        <v>129</v>
      </c>
      <c r="C24" s="43" t="s">
        <v>128</v>
      </c>
      <c r="D24" s="42" t="s">
        <v>127</v>
      </c>
      <c r="E24" s="42" t="s">
        <v>127</v>
      </c>
      <c r="F24" s="42" t="s">
        <v>140</v>
      </c>
      <c r="G24" s="11" t="s">
        <v>130</v>
      </c>
    </row>
    <row r="25" spans="1:7" ht="19.5" customHeight="1" x14ac:dyDescent="0.25">
      <c r="A25" s="12" t="s">
        <v>131</v>
      </c>
      <c r="B25" s="45"/>
      <c r="C25" s="45"/>
      <c r="D25" s="45"/>
      <c r="E25" s="45"/>
      <c r="F25" s="45"/>
      <c r="G25" s="11" t="s">
        <v>132</v>
      </c>
    </row>
    <row r="27" spans="1:7" ht="13.5" customHeight="1" x14ac:dyDescent="0.25">
      <c r="A27" s="3" t="s">
        <v>141</v>
      </c>
      <c r="B27" s="3"/>
      <c r="C27" s="3"/>
      <c r="D27" s="3"/>
      <c r="E27" s="3"/>
      <c r="F27" s="3"/>
      <c r="G27" s="3"/>
    </row>
    <row r="28" spans="1:7" ht="42" customHeight="1" x14ac:dyDescent="0.25">
      <c r="A28" s="33" t="s">
        <v>142</v>
      </c>
      <c r="B28" s="2" t="s">
        <v>143</v>
      </c>
      <c r="C28" s="2"/>
      <c r="D28" s="2"/>
      <c r="E28" s="2"/>
      <c r="F28" s="2"/>
      <c r="G28" s="2"/>
    </row>
    <row r="29" spans="1:7" ht="42" customHeight="1" x14ac:dyDescent="0.25">
      <c r="A29" s="33" t="s">
        <v>85</v>
      </c>
      <c r="B29" s="2" t="s">
        <v>144</v>
      </c>
      <c r="C29" s="2"/>
      <c r="D29" s="2"/>
      <c r="E29" s="2"/>
      <c r="F29" s="2"/>
      <c r="G29" s="2"/>
    </row>
    <row r="30" spans="1:7" ht="42" customHeight="1" x14ac:dyDescent="0.25">
      <c r="A30" s="33" t="s">
        <v>87</v>
      </c>
      <c r="B30" s="2" t="s">
        <v>145</v>
      </c>
      <c r="C30" s="2"/>
      <c r="D30" s="2"/>
      <c r="E30" s="2"/>
      <c r="F30" s="2"/>
      <c r="G30" s="2"/>
    </row>
    <row r="31" spans="1:7" ht="42" customHeight="1" x14ac:dyDescent="0.25">
      <c r="A31" s="33" t="s">
        <v>146</v>
      </c>
      <c r="B31" s="2" t="s">
        <v>147</v>
      </c>
      <c r="C31" s="2"/>
      <c r="D31" s="2"/>
      <c r="E31" s="2"/>
      <c r="F31" s="2"/>
      <c r="G31" s="2"/>
    </row>
    <row r="32" spans="1:7" ht="42" customHeight="1" x14ac:dyDescent="0.25">
      <c r="A32" s="33" t="s">
        <v>148</v>
      </c>
      <c r="B32" s="2" t="s">
        <v>149</v>
      </c>
      <c r="C32" s="2"/>
      <c r="D32" s="2"/>
      <c r="E32" s="2"/>
      <c r="F32" s="2"/>
      <c r="G32" s="2"/>
    </row>
    <row r="33" spans="1:7" ht="42" customHeight="1" x14ac:dyDescent="0.25">
      <c r="A33" s="33" t="s">
        <v>150</v>
      </c>
      <c r="B33" s="2" t="s">
        <v>151</v>
      </c>
      <c r="C33" s="2"/>
      <c r="D33" s="2"/>
      <c r="E33" s="2"/>
      <c r="F33" s="2"/>
      <c r="G33" s="2"/>
    </row>
  </sheetData>
  <mergeCells count="9">
    <mergeCell ref="B30:G30"/>
    <mergeCell ref="B31:G31"/>
    <mergeCell ref="B32:G32"/>
    <mergeCell ref="B33:G33"/>
    <mergeCell ref="A1:G1"/>
    <mergeCell ref="A2:G2"/>
    <mergeCell ref="A27:G27"/>
    <mergeCell ref="B28:G28"/>
    <mergeCell ref="B29:G2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zoomScaleNormal="100" workbookViewId="0">
      <selection activeCell="A3" sqref="A3"/>
    </sheetView>
  </sheetViews>
  <sheetFormatPr defaultColWidth="8.7109375" defaultRowHeight="15" x14ac:dyDescent="0.25"/>
  <cols>
    <col min="1" max="1" width="20" customWidth="1"/>
    <col min="2" max="2" width="24.85546875" customWidth="1"/>
    <col min="3" max="6" width="14" customWidth="1"/>
    <col min="7" max="7" width="22" customWidth="1"/>
  </cols>
  <sheetData>
    <row r="1" spans="1:7" ht="27.75" customHeight="1" x14ac:dyDescent="0.25">
      <c r="A1" s="7" t="s">
        <v>152</v>
      </c>
      <c r="B1" s="7"/>
      <c r="C1" s="7"/>
      <c r="D1" s="7"/>
      <c r="E1" s="7"/>
      <c r="F1" s="7"/>
      <c r="G1" s="7"/>
    </row>
    <row r="2" spans="1:7" ht="39.75" customHeight="1" x14ac:dyDescent="0.25">
      <c r="A2" s="6" t="s">
        <v>153</v>
      </c>
      <c r="B2" s="6"/>
      <c r="C2" s="6"/>
      <c r="D2" s="6"/>
      <c r="E2" s="6"/>
      <c r="F2" s="6"/>
      <c r="G2" s="6"/>
    </row>
    <row r="3" spans="1:7" ht="21.75" customHeight="1" x14ac:dyDescent="0.25">
      <c r="A3" s="15" t="s">
        <v>60</v>
      </c>
      <c r="B3" s="52">
        <f>Config!B3</f>
        <v>22700</v>
      </c>
      <c r="C3" s="25">
        <f>Config!B5</f>
        <v>0.14199999999999999</v>
      </c>
      <c r="D3" s="52">
        <f>Config!B7</f>
        <v>-1.4E-3</v>
      </c>
      <c r="E3" s="25">
        <f>Config!B9</f>
        <v>0</v>
      </c>
      <c r="F3" s="53">
        <f>Config!B6</f>
        <v>79408</v>
      </c>
      <c r="G3" s="35" t="str">
        <f>IF(Config!B6&lt;Config!B16,"LOW – skip",IF(Config!B6&gt;Config!B17,"HIGH – skip","ALLOW"))</f>
        <v>HIGH – skip</v>
      </c>
    </row>
    <row r="4" spans="1:7" ht="29.25" customHeight="1" x14ac:dyDescent="0.25">
      <c r="A4" s="54" t="s">
        <v>154</v>
      </c>
      <c r="B4" s="54" t="s">
        <v>155</v>
      </c>
      <c r="C4" s="54" t="s">
        <v>156</v>
      </c>
      <c r="D4" s="54" t="s">
        <v>157</v>
      </c>
      <c r="E4" s="54" t="s">
        <v>158</v>
      </c>
      <c r="F4" s="54" t="s">
        <v>159</v>
      </c>
      <c r="G4" s="54" t="s">
        <v>160</v>
      </c>
    </row>
    <row r="5" spans="1:7" ht="15.75" customHeight="1" x14ac:dyDescent="0.25">
      <c r="A5" s="35">
        <v>30</v>
      </c>
      <c r="B5" s="55" t="s">
        <v>161</v>
      </c>
      <c r="C5" s="56" t="s">
        <v>162</v>
      </c>
      <c r="D5" s="57" t="s">
        <v>162</v>
      </c>
      <c r="E5" s="56" t="s">
        <v>162</v>
      </c>
      <c r="F5" s="57" t="s">
        <v>162</v>
      </c>
      <c r="G5" s="58" t="s">
        <v>163</v>
      </c>
    </row>
    <row r="6" spans="1:7" ht="15.75" customHeight="1" x14ac:dyDescent="0.25">
      <c r="A6" s="59">
        <v>29</v>
      </c>
      <c r="B6" s="55" t="s">
        <v>164</v>
      </c>
      <c r="C6" s="56" t="s">
        <v>162</v>
      </c>
      <c r="D6" s="57" t="s">
        <v>162</v>
      </c>
      <c r="E6" s="56" t="s">
        <v>162</v>
      </c>
      <c r="F6" s="57" t="s">
        <v>162</v>
      </c>
      <c r="G6" s="58" t="s">
        <v>163</v>
      </c>
    </row>
    <row r="7" spans="1:7" ht="15.75" customHeight="1" x14ac:dyDescent="0.25">
      <c r="A7" s="35">
        <v>28</v>
      </c>
      <c r="B7" s="55" t="s">
        <v>165</v>
      </c>
      <c r="C7" s="56" t="s">
        <v>162</v>
      </c>
      <c r="D7" s="57" t="s">
        <v>162</v>
      </c>
      <c r="E7" s="56" t="s">
        <v>162</v>
      </c>
      <c r="F7" s="57" t="s">
        <v>162</v>
      </c>
      <c r="G7" s="58" t="s">
        <v>163</v>
      </c>
    </row>
    <row r="8" spans="1:7" ht="15.75" customHeight="1" x14ac:dyDescent="0.25">
      <c r="A8" s="59">
        <v>27</v>
      </c>
      <c r="B8" s="55" t="s">
        <v>166</v>
      </c>
      <c r="C8" s="56" t="s">
        <v>162</v>
      </c>
      <c r="D8" s="57" t="s">
        <v>162</v>
      </c>
      <c r="E8" s="56" t="s">
        <v>162</v>
      </c>
      <c r="F8" s="57" t="s">
        <v>162</v>
      </c>
      <c r="G8" s="58" t="s">
        <v>163</v>
      </c>
    </row>
    <row r="9" spans="1:7" ht="15.75" customHeight="1" x14ac:dyDescent="0.25">
      <c r="A9" s="35">
        <v>26</v>
      </c>
      <c r="B9" s="55" t="s">
        <v>167</v>
      </c>
      <c r="C9" s="56" t="s">
        <v>162</v>
      </c>
      <c r="D9" s="57" t="s">
        <v>162</v>
      </c>
      <c r="E9" s="56" t="s">
        <v>162</v>
      </c>
      <c r="F9" s="57" t="s">
        <v>162</v>
      </c>
      <c r="G9" s="58" t="s">
        <v>163</v>
      </c>
    </row>
    <row r="10" spans="1:7" ht="15.75" customHeight="1" x14ac:dyDescent="0.25">
      <c r="A10" s="59">
        <v>25</v>
      </c>
      <c r="B10" s="55" t="s">
        <v>168</v>
      </c>
      <c r="C10" s="56" t="s">
        <v>162</v>
      </c>
      <c r="D10" s="57" t="s">
        <v>162</v>
      </c>
      <c r="E10" s="56" t="s">
        <v>162</v>
      </c>
      <c r="F10" s="57" t="s">
        <v>162</v>
      </c>
      <c r="G10" s="58" t="s">
        <v>163</v>
      </c>
    </row>
    <row r="11" spans="1:7" ht="15.75" customHeight="1" x14ac:dyDescent="0.25">
      <c r="A11" s="35">
        <v>24</v>
      </c>
      <c r="B11" s="55" t="s">
        <v>169</v>
      </c>
      <c r="C11" s="56" t="s">
        <v>162</v>
      </c>
      <c r="D11" s="57" t="s">
        <v>162</v>
      </c>
      <c r="E11" s="56" t="s">
        <v>162</v>
      </c>
      <c r="F11" s="57" t="s">
        <v>162</v>
      </c>
      <c r="G11" s="58" t="s">
        <v>163</v>
      </c>
    </row>
    <row r="12" spans="1:7" ht="15.75" customHeight="1" x14ac:dyDescent="0.25">
      <c r="A12" s="59">
        <v>23</v>
      </c>
      <c r="B12" s="55" t="s">
        <v>170</v>
      </c>
      <c r="C12" s="56" t="s">
        <v>162</v>
      </c>
      <c r="D12" s="57" t="s">
        <v>162</v>
      </c>
      <c r="E12" s="56" t="s">
        <v>162</v>
      </c>
      <c r="F12" s="57" t="s">
        <v>162</v>
      </c>
      <c r="G12" s="58" t="s">
        <v>163</v>
      </c>
    </row>
    <row r="13" spans="1:7" ht="15.75" customHeight="1" x14ac:dyDescent="0.25">
      <c r="A13" s="35">
        <v>22</v>
      </c>
      <c r="B13" s="55" t="s">
        <v>171</v>
      </c>
      <c r="C13" s="56" t="s">
        <v>162</v>
      </c>
      <c r="D13" s="57" t="s">
        <v>162</v>
      </c>
      <c r="E13" s="56" t="s">
        <v>162</v>
      </c>
      <c r="F13" s="57" t="s">
        <v>162</v>
      </c>
      <c r="G13" s="58" t="s">
        <v>163</v>
      </c>
    </row>
    <row r="14" spans="1:7" ht="15.75" customHeight="1" x14ac:dyDescent="0.25">
      <c r="A14" s="59">
        <v>21</v>
      </c>
      <c r="B14" s="55" t="s">
        <v>172</v>
      </c>
      <c r="C14" s="56" t="s">
        <v>162</v>
      </c>
      <c r="D14" s="57" t="s">
        <v>162</v>
      </c>
      <c r="E14" s="56" t="s">
        <v>162</v>
      </c>
      <c r="F14" s="57" t="s">
        <v>162</v>
      </c>
      <c r="G14" s="58" t="s">
        <v>163</v>
      </c>
    </row>
    <row r="15" spans="1:7" ht="15.75" customHeight="1" x14ac:dyDescent="0.25">
      <c r="A15" s="35">
        <v>20</v>
      </c>
      <c r="B15" s="55" t="s">
        <v>173</v>
      </c>
      <c r="C15" s="56" t="s">
        <v>162</v>
      </c>
      <c r="D15" s="57" t="s">
        <v>162</v>
      </c>
      <c r="E15" s="56" t="s">
        <v>162</v>
      </c>
      <c r="F15" s="57" t="s">
        <v>162</v>
      </c>
      <c r="G15" s="58" t="s">
        <v>163</v>
      </c>
    </row>
    <row r="16" spans="1:7" ht="15.75" customHeight="1" x14ac:dyDescent="0.25">
      <c r="A16" s="59">
        <v>19</v>
      </c>
      <c r="B16" s="55" t="s">
        <v>174</v>
      </c>
      <c r="C16" s="56" t="s">
        <v>162</v>
      </c>
      <c r="D16" s="57" t="s">
        <v>162</v>
      </c>
      <c r="E16" s="56" t="s">
        <v>162</v>
      </c>
      <c r="F16" s="57" t="s">
        <v>162</v>
      </c>
      <c r="G16" s="58" t="s">
        <v>163</v>
      </c>
    </row>
    <row r="17" spans="1:7" ht="15.75" customHeight="1" x14ac:dyDescent="0.25">
      <c r="A17" s="35">
        <v>18</v>
      </c>
      <c r="B17" s="55" t="s">
        <v>175</v>
      </c>
      <c r="C17" s="56" t="s">
        <v>162</v>
      </c>
      <c r="D17" s="57" t="s">
        <v>162</v>
      </c>
      <c r="E17" s="56" t="s">
        <v>162</v>
      </c>
      <c r="F17" s="57" t="s">
        <v>162</v>
      </c>
      <c r="G17" s="58" t="s">
        <v>163</v>
      </c>
    </row>
    <row r="18" spans="1:7" ht="15.75" customHeight="1" x14ac:dyDescent="0.25">
      <c r="A18" s="59">
        <v>17</v>
      </c>
      <c r="B18" s="55" t="s">
        <v>176</v>
      </c>
      <c r="C18" s="56" t="s">
        <v>162</v>
      </c>
      <c r="D18" s="57" t="s">
        <v>162</v>
      </c>
      <c r="E18" s="56" t="s">
        <v>162</v>
      </c>
      <c r="F18" s="57" t="s">
        <v>162</v>
      </c>
      <c r="G18" s="58" t="s">
        <v>163</v>
      </c>
    </row>
    <row r="19" spans="1:7" ht="15.75" customHeight="1" x14ac:dyDescent="0.25">
      <c r="A19" s="35">
        <v>16</v>
      </c>
      <c r="B19" s="55" t="s">
        <v>177</v>
      </c>
      <c r="C19" s="56" t="s">
        <v>162</v>
      </c>
      <c r="D19" s="57" t="s">
        <v>162</v>
      </c>
      <c r="E19" s="56" t="s">
        <v>162</v>
      </c>
      <c r="F19" s="57" t="s">
        <v>162</v>
      </c>
      <c r="G19" s="58" t="s">
        <v>163</v>
      </c>
    </row>
    <row r="20" spans="1:7" ht="15.75" customHeight="1" x14ac:dyDescent="0.25">
      <c r="A20" s="59">
        <v>15</v>
      </c>
      <c r="B20" s="55" t="s">
        <v>178</v>
      </c>
      <c r="C20" s="56" t="s">
        <v>162</v>
      </c>
      <c r="D20" s="57" t="s">
        <v>162</v>
      </c>
      <c r="E20" s="56" t="s">
        <v>162</v>
      </c>
      <c r="F20" s="57" t="s">
        <v>162</v>
      </c>
      <c r="G20" s="58" t="s">
        <v>163</v>
      </c>
    </row>
    <row r="21" spans="1:7" ht="15.75" customHeight="1" x14ac:dyDescent="0.25">
      <c r="A21" s="35">
        <v>14</v>
      </c>
      <c r="B21" s="55" t="s">
        <v>179</v>
      </c>
      <c r="C21" s="56" t="s">
        <v>162</v>
      </c>
      <c r="D21" s="57" t="s">
        <v>162</v>
      </c>
      <c r="E21" s="56" t="s">
        <v>162</v>
      </c>
      <c r="F21" s="57" t="s">
        <v>162</v>
      </c>
      <c r="G21" s="58" t="s">
        <v>163</v>
      </c>
    </row>
    <row r="22" spans="1:7" ht="15.75" customHeight="1" x14ac:dyDescent="0.25">
      <c r="A22" s="59">
        <v>13</v>
      </c>
      <c r="B22" s="55" t="s">
        <v>180</v>
      </c>
      <c r="C22" s="56" t="s">
        <v>162</v>
      </c>
      <c r="D22" s="57" t="s">
        <v>162</v>
      </c>
      <c r="E22" s="56" t="s">
        <v>162</v>
      </c>
      <c r="F22" s="57" t="s">
        <v>162</v>
      </c>
      <c r="G22" s="58" t="s">
        <v>163</v>
      </c>
    </row>
    <row r="23" spans="1:7" ht="15.75" customHeight="1" x14ac:dyDescent="0.25">
      <c r="A23" s="35">
        <v>12</v>
      </c>
      <c r="B23" s="55" t="s">
        <v>181</v>
      </c>
      <c r="C23" s="56" t="s">
        <v>162</v>
      </c>
      <c r="D23" s="57" t="s">
        <v>162</v>
      </c>
      <c r="E23" s="56" t="s">
        <v>162</v>
      </c>
      <c r="F23" s="57" t="s">
        <v>162</v>
      </c>
      <c r="G23" s="58" t="s">
        <v>163</v>
      </c>
    </row>
    <row r="24" spans="1:7" ht="15.75" customHeight="1" x14ac:dyDescent="0.25">
      <c r="A24" s="59">
        <v>11</v>
      </c>
      <c r="B24" s="55" t="s">
        <v>182</v>
      </c>
      <c r="C24" s="56" t="s">
        <v>162</v>
      </c>
      <c r="D24" s="57" t="s">
        <v>162</v>
      </c>
      <c r="E24" s="56" t="s">
        <v>162</v>
      </c>
      <c r="F24" s="57" t="s">
        <v>162</v>
      </c>
      <c r="G24" s="58" t="s">
        <v>163</v>
      </c>
    </row>
    <row r="25" spans="1:7" ht="15.75" customHeight="1" x14ac:dyDescent="0.25">
      <c r="A25" s="35">
        <v>10</v>
      </c>
      <c r="B25" s="55" t="s">
        <v>183</v>
      </c>
      <c r="C25" s="56" t="s">
        <v>162</v>
      </c>
      <c r="D25" s="57" t="s">
        <v>162</v>
      </c>
      <c r="E25" s="56" t="s">
        <v>162</v>
      </c>
      <c r="F25" s="57" t="s">
        <v>162</v>
      </c>
      <c r="G25" s="58" t="s">
        <v>163</v>
      </c>
    </row>
    <row r="26" spans="1:7" ht="15.75" customHeight="1" x14ac:dyDescent="0.25">
      <c r="A26" s="59">
        <v>9</v>
      </c>
      <c r="B26" s="55" t="s">
        <v>184</v>
      </c>
      <c r="C26" s="56" t="s">
        <v>162</v>
      </c>
      <c r="D26" s="57" t="s">
        <v>162</v>
      </c>
      <c r="E26" s="56" t="s">
        <v>162</v>
      </c>
      <c r="F26" s="57" t="s">
        <v>162</v>
      </c>
      <c r="G26" s="58" t="s">
        <v>163</v>
      </c>
    </row>
    <row r="27" spans="1:7" ht="15.75" customHeight="1" x14ac:dyDescent="0.25">
      <c r="A27" s="35">
        <v>8</v>
      </c>
      <c r="B27" s="55" t="s">
        <v>185</v>
      </c>
      <c r="C27" s="56" t="s">
        <v>162</v>
      </c>
      <c r="D27" s="57" t="s">
        <v>162</v>
      </c>
      <c r="E27" s="56" t="s">
        <v>162</v>
      </c>
      <c r="F27" s="57" t="s">
        <v>162</v>
      </c>
      <c r="G27" s="58" t="s">
        <v>163</v>
      </c>
    </row>
    <row r="28" spans="1:7" ht="15.75" customHeight="1" x14ac:dyDescent="0.25">
      <c r="A28" s="59">
        <v>7</v>
      </c>
      <c r="B28" s="55" t="s">
        <v>186</v>
      </c>
      <c r="C28" s="56" t="s">
        <v>162</v>
      </c>
      <c r="D28" s="57" t="s">
        <v>162</v>
      </c>
      <c r="E28" s="56" t="s">
        <v>162</v>
      </c>
      <c r="F28" s="57" t="s">
        <v>162</v>
      </c>
      <c r="G28" s="58" t="s">
        <v>163</v>
      </c>
    </row>
    <row r="29" spans="1:7" ht="15.75" customHeight="1" x14ac:dyDescent="0.25">
      <c r="A29" s="35">
        <v>6</v>
      </c>
      <c r="B29" s="55" t="s">
        <v>187</v>
      </c>
      <c r="C29" s="56" t="s">
        <v>162</v>
      </c>
      <c r="D29" s="57" t="s">
        <v>162</v>
      </c>
      <c r="E29" s="56" t="s">
        <v>162</v>
      </c>
      <c r="F29" s="57" t="s">
        <v>162</v>
      </c>
      <c r="G29" s="58" t="s">
        <v>163</v>
      </c>
    </row>
    <row r="30" spans="1:7" ht="15.75" customHeight="1" x14ac:dyDescent="0.25">
      <c r="A30" s="59">
        <v>5</v>
      </c>
      <c r="B30" s="55" t="s">
        <v>188</v>
      </c>
      <c r="C30" s="56" t="s">
        <v>162</v>
      </c>
      <c r="D30" s="57" t="s">
        <v>162</v>
      </c>
      <c r="E30" s="56" t="s">
        <v>162</v>
      </c>
      <c r="F30" s="57" t="s">
        <v>162</v>
      </c>
      <c r="G30" s="58" t="s">
        <v>163</v>
      </c>
    </row>
    <row r="31" spans="1:7" ht="15.75" customHeight="1" x14ac:dyDescent="0.25">
      <c r="A31" s="35">
        <v>4</v>
      </c>
      <c r="B31" s="55" t="s">
        <v>189</v>
      </c>
      <c r="C31" s="56" t="s">
        <v>162</v>
      </c>
      <c r="D31" s="57" t="s">
        <v>162</v>
      </c>
      <c r="E31" s="56" t="s">
        <v>162</v>
      </c>
      <c r="F31" s="57" t="s">
        <v>162</v>
      </c>
      <c r="G31" s="58" t="s">
        <v>163</v>
      </c>
    </row>
    <row r="32" spans="1:7" ht="15.75" customHeight="1" x14ac:dyDescent="0.25">
      <c r="A32" s="59">
        <v>3</v>
      </c>
      <c r="B32" s="55" t="s">
        <v>190</v>
      </c>
      <c r="C32" s="56" t="s">
        <v>162</v>
      </c>
      <c r="D32" s="57" t="s">
        <v>162</v>
      </c>
      <c r="E32" s="56" t="s">
        <v>162</v>
      </c>
      <c r="F32" s="57" t="s">
        <v>162</v>
      </c>
      <c r="G32" s="58" t="s">
        <v>163</v>
      </c>
    </row>
    <row r="33" spans="1:7" ht="15.75" customHeight="1" x14ac:dyDescent="0.25">
      <c r="A33" s="35">
        <v>2</v>
      </c>
      <c r="B33" s="55" t="s">
        <v>191</v>
      </c>
      <c r="C33" s="56" t="s">
        <v>162</v>
      </c>
      <c r="D33" s="57" t="s">
        <v>162</v>
      </c>
      <c r="E33" s="56" t="s">
        <v>162</v>
      </c>
      <c r="F33" s="57" t="s">
        <v>162</v>
      </c>
      <c r="G33" s="58" t="s">
        <v>163</v>
      </c>
    </row>
    <row r="34" spans="1:7" ht="15.75" customHeight="1" x14ac:dyDescent="0.25">
      <c r="A34" s="59">
        <v>1</v>
      </c>
      <c r="B34" s="55" t="s">
        <v>192</v>
      </c>
      <c r="C34" s="56" t="s">
        <v>162</v>
      </c>
      <c r="D34" s="57" t="s">
        <v>162</v>
      </c>
      <c r="E34" s="56" t="s">
        <v>162</v>
      </c>
      <c r="F34" s="57" t="s">
        <v>162</v>
      </c>
      <c r="G34" s="58" t="s">
        <v>163</v>
      </c>
    </row>
    <row r="36" spans="1:7" ht="36" customHeight="1" x14ac:dyDescent="0.25">
      <c r="A36" s="1" t="s">
        <v>193</v>
      </c>
      <c r="B36" s="1"/>
      <c r="C36" s="1"/>
      <c r="D36" s="1"/>
      <c r="E36" s="1"/>
      <c r="F36" s="1"/>
      <c r="G36" s="1"/>
    </row>
    <row r="38" spans="1:7" ht="13.5" customHeight="1" x14ac:dyDescent="0.25">
      <c r="A38" s="3" t="s">
        <v>194</v>
      </c>
      <c r="B38" s="3"/>
      <c r="C38" s="3"/>
      <c r="D38" s="3"/>
      <c r="E38" s="3"/>
      <c r="F38" s="3"/>
      <c r="G38" s="3"/>
    </row>
    <row r="39" spans="1:7" ht="36" customHeight="1" x14ac:dyDescent="0.25">
      <c r="A39" s="33" t="s">
        <v>195</v>
      </c>
      <c r="B39" s="2" t="s">
        <v>196</v>
      </c>
      <c r="C39" s="2"/>
      <c r="D39" s="2"/>
      <c r="E39" s="2"/>
      <c r="F39" s="2"/>
      <c r="G39" s="2"/>
    </row>
    <row r="40" spans="1:7" ht="36" customHeight="1" x14ac:dyDescent="0.25">
      <c r="A40" s="33" t="s">
        <v>197</v>
      </c>
      <c r="B40" s="2" t="s">
        <v>198</v>
      </c>
      <c r="C40" s="2"/>
      <c r="D40" s="2"/>
      <c r="E40" s="2"/>
      <c r="F40" s="2"/>
      <c r="G40" s="2"/>
    </row>
    <row r="41" spans="1:7" ht="36" customHeight="1" x14ac:dyDescent="0.25">
      <c r="A41" s="33" t="s">
        <v>199</v>
      </c>
      <c r="B41" s="2" t="s">
        <v>200</v>
      </c>
      <c r="C41" s="2"/>
      <c r="D41" s="2"/>
      <c r="E41" s="2"/>
      <c r="F41" s="2"/>
      <c r="G41" s="2"/>
    </row>
    <row r="42" spans="1:7" ht="36" customHeight="1" x14ac:dyDescent="0.25">
      <c r="A42" s="33" t="s">
        <v>201</v>
      </c>
      <c r="B42" s="2" t="s">
        <v>202</v>
      </c>
      <c r="C42" s="2"/>
      <c r="D42" s="2"/>
      <c r="E42" s="2"/>
      <c r="F42" s="2"/>
      <c r="G42" s="2"/>
    </row>
    <row r="43" spans="1:7" ht="36" customHeight="1" x14ac:dyDescent="0.25">
      <c r="A43" s="33" t="s">
        <v>203</v>
      </c>
      <c r="B43" s="2" t="s">
        <v>204</v>
      </c>
      <c r="C43" s="2"/>
      <c r="D43" s="2"/>
      <c r="E43" s="2"/>
      <c r="F43" s="2"/>
      <c r="G43" s="2"/>
    </row>
    <row r="44" spans="1:7" ht="36" customHeight="1" x14ac:dyDescent="0.25">
      <c r="A44" s="33" t="s">
        <v>205</v>
      </c>
      <c r="B44" s="2" t="s">
        <v>206</v>
      </c>
      <c r="C44" s="2"/>
      <c r="D44" s="2"/>
      <c r="E44" s="2"/>
      <c r="F44" s="2"/>
      <c r="G44" s="2"/>
    </row>
  </sheetData>
  <mergeCells count="10">
    <mergeCell ref="B40:G40"/>
    <mergeCell ref="B41:G41"/>
    <mergeCell ref="B42:G42"/>
    <mergeCell ref="B43:G43"/>
    <mergeCell ref="B44:G44"/>
    <mergeCell ref="A1:G1"/>
    <mergeCell ref="A2:G2"/>
    <mergeCell ref="A36:G36"/>
    <mergeCell ref="A38:G38"/>
    <mergeCell ref="B39:G3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Config</vt:lpstr>
      <vt:lpstr>Tab1_Backtest</vt:lpstr>
      <vt:lpstr>Tab2_LiveSignal</vt:lpstr>
      <vt:lpstr>Tab3_IV_History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Govindaraj Prabhu Manohar</cp:lastModifiedBy>
  <cp:revision>0</cp:revision>
  <dcterms:created xsi:type="dcterms:W3CDTF">2026-04-03T16:03:19Z</dcterms:created>
  <dcterms:modified xsi:type="dcterms:W3CDTF">2026-04-03T19:18:53Z</dcterms:modified>
  <dc:language>en-US</dc:language>
</cp:coreProperties>
</file>