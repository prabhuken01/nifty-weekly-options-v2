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Tab1_Backtest" sheetId="2" state="visible" r:id="rId4"/>
    <sheet name="Tab2_LiveSignal" sheetId="3" state="visible" r:id="rId5"/>
    <sheet name="Tab3_IV_Histo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<sst xmlns="http://schemas.openxmlformats.org/spreadsheetml/2006/main" count="403" uniqueCount="208">
  <si>
    <t xml:space="preserve">CONFIG — All dashboard inputs live here</t>
  </si>
  <si>
    <t xml:space="preserve">── LIVE MARKET DATA ──</t>
  </si>
  <si>
    <t xml:space="preserve">Pull via API on refresh</t>
  </si>
  <si>
    <t xml:space="preserve">NIFTY 50 Spot</t>
  </si>
  <si>
    <t xml:space="preserve">Source: Kite/DhanHQ ticker · format: #,##0</t>
  </si>
  <si>
    <t xml:space="preserve">NIFTY Day Change %</t>
  </si>
  <si>
    <t xml:space="preserve">Source: same · format: 0.0%</t>
  </si>
  <si>
    <t xml:space="preserve">NIFTY ATM IV %</t>
  </si>
  <si>
    <t xml:space="preserve">ATM straddle mid ÷ BS reverse · format: 0.0%</t>
  </si>
  <si>
    <t xml:space="preserve">SENSEX Spot</t>
  </si>
  <si>
    <t xml:space="preserve">Source: Kite/DhanHQ BSE ticker · format: #,##0</t>
  </si>
  <si>
    <t xml:space="preserve">SENSEX Day Change %</t>
  </si>
  <si>
    <t xml:space="preserve">format: 0.0%</t>
  </si>
  <si>
    <t xml:space="preserve">SENSEX ATM IV %</t>
  </si>
  <si>
    <t xml:space="preserve">── IV REGIME ──</t>
  </si>
  <si>
    <t xml:space="preserve">IVP (30-day rolling)</t>
  </si>
  <si>
    <t xml:space="preserve">count(days IV &lt; today) ÷ 30 · format: 0%</t>
  </si>
  <si>
    <t xml:space="preserve">── EXPIRY &amp; DTE ──</t>
  </si>
  <si>
    <t xml:space="preserve">Next expiry date</t>
  </si>
  <si>
    <t xml:space="preserve">7-Apr-2026</t>
  </si>
  <si>
    <t xml:space="preserve">NSE calendar · format: DD-MMM-YYYY</t>
  </si>
  <si>
    <t xml:space="preserve">Effective DTE</t>
  </si>
  <si>
    <t xml:space="preserve">Calendar days adj. for weekends + NSE holidays</t>
  </si>
  <si>
    <t xml:space="preserve">── FILTER THRESHOLDS ──</t>
  </si>
  <si>
    <t xml:space="preserve">IVP Floor</t>
  </si>
  <si>
    <t xml:space="preserve">Skip if IVP below this · default 20%</t>
  </si>
  <si>
    <t xml:space="preserve">IVP Ceiling</t>
  </si>
  <si>
    <t xml:space="preserve">Skip if IVP above this · default 80%</t>
  </si>
  <si>
    <t xml:space="preserve">Signal threshold</t>
  </si>
  <si>
    <t xml:space="preserve">Min score to generate SELL signal · default 65</t>
  </si>
  <si>
    <t xml:space="preserve">Exclude Fridays</t>
  </si>
  <si>
    <t xml:space="preserve">YES</t>
  </si>
  <si>
    <t xml:space="preserve">YES/NO</t>
  </si>
  <si>
    <t xml:space="preserve">Lookback months</t>
  </si>
  <si>
    <t xml:space="preserve">For monthly % calculation</t>
  </si>
  <si>
    <t xml:space="preserve">── INSTRUMENT ──</t>
  </si>
  <si>
    <t xml:space="preserve">Active instrument</t>
  </si>
  <si>
    <t xml:space="preserve">NIFTY 50</t>
  </si>
  <si>
    <t xml:space="preserve">NIFTY 50 or SENSEX</t>
  </si>
  <si>
    <t xml:space="preserve">NIFTY lot size</t>
  </si>
  <si>
    <t xml:space="preserve">NSE standard lot</t>
  </si>
  <si>
    <t xml:space="preserve">SENSEX lot size</t>
  </si>
  <si>
    <t xml:space="preserve">BSE standard lot</t>
  </si>
  <si>
    <t xml:space="preserve">Capital base (₹)</t>
  </si>
  <si>
    <t xml:space="preserve">For return% and DD% calculations</t>
  </si>
  <si>
    <t xml:space="preserve">SHORT STRANGLE BACKTESTING DASHBOARD  —  Tab 1: Backtest Results</t>
  </si>
  <si>
    <t xml:space="preserve">DATA SOURCES &amp; GROUND RULES  |  Bhavcopy (NSE EOD, free) → default  |  DhanHQ / Kite API → live feed  |  Lot size: NIFTY=65, SENSEX=10  |  Capital base: ₹5,00,000  |  Brokerage: ₹80/trade flat  |  STT: 0.05% on exit premium  |  IVP window: 30-day rolling  |  Friday entries excluded  |  Holiday-adjusted DTE</t>
  </si>
  <si>
    <t xml:space="preserve">NIFTY Chg%</t>
  </si>
  <si>
    <t xml:space="preserve">NIFTY IV%</t>
  </si>
  <si>
    <t xml:space="preserve">SENSEX Chg%</t>
  </si>
  <si>
    <t xml:space="preserve">SENSEX IV%</t>
  </si>
  <si>
    <t xml:space="preserve">Instrument</t>
  </si>
  <si>
    <t xml:space="preserve">Entry time</t>
  </si>
  <si>
    <t xml:space="preserve">Exit time</t>
  </si>
  <si>
    <t xml:space="preserve">Lookback (months)</t>
  </si>
  <si>
    <t xml:space="preserve">IVP Floor (%)</t>
  </si>
  <si>
    <t xml:space="preserve">IVP Ceiling (%)</t>
  </si>
  <si>
    <t xml:space="preserve">Excl. Fridays?</t>
  </si>
  <si>
    <t xml:space="preserve">Period (1D/1H/5M)</t>
  </si>
  <si>
    <t xml:space="preserve">T-2 closing</t>
  </si>
  <si>
    <t xml:space="preserve">T closing</t>
  </si>
  <si>
    <t xml:space="preserve">1D</t>
  </si>
  <si>
    <t xml:space="preserve">Strike offset</t>
  </si>
  <si>
    <t xml:space="preserve">Gross P&amp;L (₹)</t>
  </si>
  <si>
    <t xml:space="preserve">Costs (₹)</t>
  </si>
  <si>
    <t xml:space="preserve">Net P&amp;L (₹)</t>
  </si>
  <si>
    <t xml:space="preserve">Net P&amp;L monthly %</t>
  </si>
  <si>
    <t xml:space="preserve">Return on ₹5L (%)</t>
  </si>
  <si>
    <t xml:space="preserve">Max DD (₹)</t>
  </si>
  <si>
    <t xml:space="preserve">Max DD monthly %</t>
  </si>
  <si>
    <t xml:space="preserve">Vega (₹ per 1% IV)</t>
  </si>
  <si>
    <t xml:space="preserve">Theta (₹/day)</t>
  </si>
  <si>
    <t xml:space="preserve">Cushion ratio
(Theta÷|Vega|)</t>
  </si>
  <si>
    <t xml:space="preserve">Signal score
(/100)</t>
  </si>
  <si>
    <t xml:space="preserve">NIFTY 50  —  Capital: ₹1,20,000 per lot  |  Lot size: 65</t>
  </si>
  <si>
    <t xml:space="preserve">±2.5%</t>
  </si>
  <si>
    <t xml:space="preserve">±3.0%</t>
  </si>
  <si>
    <t xml:space="preserve">±3.5% ★ Best</t>
  </si>
  <si>
    <t xml:space="preserve">±4.0%</t>
  </si>
  <si>
    <t xml:space="preserve">±4.5%</t>
  </si>
  <si>
    <t xml:space="preserve">SENSEX  —  Capital: ₹1,10,000 per lot  |  Lot size: 10</t>
  </si>
  <si>
    <t xml:space="preserve">GLOSSARY &amp; DISPLAY RULES</t>
  </si>
  <si>
    <t xml:space="preserve">Net P&amp;L ÷ (₹5,00,000 × lookback months). Shows annualised pace of return on capital deployed.</t>
  </si>
  <si>
    <t xml:space="preserve">Largest peak-to-trough loss ÷ (₹5,00,000 × months). Negative = capital at risk per month.</t>
  </si>
  <si>
    <t xml:space="preserve">How much your P&amp;L changes for every 1% rise in Implied Volatility. NEGATIVE because you are SHORT vol. Example: Vega = −₹220 → IV spikes +5% → you lose ₹1,100 on that leg.</t>
  </si>
  <si>
    <t xml:space="preserve">Daily time-decay income collected. POSITIVE because you are SHORT options. Example: Theta = +₹440 → you earn ₹440 for every calendar day the position is held, all else equal.</t>
  </si>
  <si>
    <t xml:space="preserve">Cushion ratio</t>
  </si>
  <si>
    <t xml:space="preserve">Theta ÷ |Vega|. Answers: 'How many IV points must spike in ONE day to wipe today's Theta?' ≥2.0x = safe zone (green). 1–2x = watch zone (amber). &lt;1x = danger (red).</t>
  </si>
  <si>
    <t xml:space="preserve">Signal score</t>
  </si>
  <si>
    <t xml:space="preserve">Composite 0–100. 60% weight on BS strike probability (N·d2) + 40% on IVP premium quality. ≥65 = SELL. 50–64 = MONITOR. &lt;50 = AVOID.</t>
  </si>
  <si>
    <t xml:space="preserve">IVP floor/ceiling</t>
  </si>
  <si>
    <t xml:space="preserve">IVP &lt;20 → skip (vol too low, Vega expansion risk). IVP &gt;80 → skip (Gamma spike risk). 20–80 = trade zone.</t>
  </si>
  <si>
    <t xml:space="preserve">Holiday DTE adjust</t>
  </si>
  <si>
    <t xml:space="preserve">If next expiry falls after a public holiday, DTE is reduced accordingly. Example: Apr 7 expiry with Apr 5-6 holidays = effective DTE of 2, not 4. All Theta and probability calculations use adjusted DTE.</t>
  </si>
  <si>
    <t xml:space="preserve">Display format rules</t>
  </si>
  <si>
    <t xml:space="preserve">₹ values: whole numbers, no decimals. % values: one decimal (e.g. 1.6%). Ratios: one decimal + x (e.g. 2.3x). Scores: integer out of 100.</t>
  </si>
  <si>
    <t xml:space="preserve">Blue cells</t>
  </si>
  <si>
    <t xml:space="preserve">User inputs — change these to update scenarios.</t>
  </si>
  <si>
    <t xml:space="preserve">Black cells</t>
  </si>
  <si>
    <t xml:space="preserve">Excel formulas — do not overwrite.</t>
  </si>
  <si>
    <t xml:space="preserve">Green cells</t>
  </si>
  <si>
    <t xml:space="preserve">Cross-sheet links pulling from Config sheet.</t>
  </si>
  <si>
    <t xml:space="preserve">LIVE SIGNAL SHEET  —  Tab 2: Next Expiry  |  Immediate next weekly / monthly contract</t>
  </si>
  <si>
    <t xml:space="preserve">DATA SOURCE: Live feed via DhanHQ or Kite API (fallback: NSE Bhavcopy EOD T-1 close)  |  Time snapshots: 10 AM / 11 AM / 12 PM / 1 PM / 2 PM / 3 PM  |  DTE: Calendar days adjusted for NSE holidays — no trading on Sat/Sun/holidays  |  Strike probability: Black-Scholes N(d2) using live ATM IV  |  Extreme loss scenario: 0.5% beyond outer strike (1 day before expiry max)</t>
  </si>
  <si>
    <t xml:space="preserve">Snapshot time → use dropdown in Config</t>
  </si>
  <si>
    <t xml:space="preserve">Next expiry</t>
  </si>
  <si>
    <t xml:space="preserve">DTE (adj.)</t>
  </si>
  <si>
    <t xml:space="preserve">IVP (30d)</t>
  </si>
  <si>
    <t xml:space="preserve">Regime / signal threshold</t>
  </si>
  <si>
    <t xml:space="preserve">PUT LEG →</t>
  </si>
  <si>
    <t xml:space="preserve">−4.5%
21,680</t>
  </si>
  <si>
    <t xml:space="preserve">−4.0%
21,792</t>
  </si>
  <si>
    <t xml:space="preserve">−3.5%
21,905</t>
  </si>
  <si>
    <t xml:space="preserve">−3.0%
22,019</t>
  </si>
  <si>
    <t xml:space="preserve">−2.5%
22,133</t>
  </si>
  <si>
    <t xml:space="preserve">Premium (₹)</t>
  </si>
  <si>
    <t xml:space="preserve">Live ATM mid-price from option chain. Source: Kite/DhanHQ API or NSE EOD</t>
  </si>
  <si>
    <t xml:space="preserve">Profit/lot (₹)</t>
  </si>
  <si>
    <t xml:space="preserve">Premium × lot size (NIFTY=65, SENSEX=10). No decimals.</t>
  </si>
  <si>
    <t xml:space="preserve">Capital req. (₹)</t>
  </si>
  <si>
    <t xml:space="preserve">SPAN + Exposure margin. Source: broker margin calculator API</t>
  </si>
  <si>
    <t xml:space="preserve">Return/lot (%)</t>
  </si>
  <si>
    <t xml:space="preserve">Profit per lot ÷ Capital required. Format: 0.0%</t>
  </si>
  <si>
    <t xml:space="preserve">Prob – N(d2) %</t>
  </si>
  <si>
    <t xml:space="preserve">BS probability spot stays above put strike at expiry. Uses live IV + holiday-adj DTE</t>
  </si>
  <si>
    <t xml:space="preserve">Theta ÷ |Vega|. Green ≥2x · Amber 1–2x · Red &lt;1x</t>
  </si>
  <si>
    <t xml:space="preserve">60% × Prob + 40% × IVP_quality_score. ≥65=SELL · 50-64=MONITOR · &lt;50=AVOID</t>
  </si>
  <si>
    <t xml:space="preserve">Action</t>
  </si>
  <si>
    <t xml:space="preserve">SELL</t>
  </si>
  <si>
    <t xml:space="preserve">MONITOR</t>
  </si>
  <si>
    <t xml:space="preserve">AVOID</t>
  </si>
  <si>
    <t xml:space="preserve">Auto-generated from signal score vs threshold in Config!B16</t>
  </si>
  <si>
    <t xml:space="preserve">Extreme loss 0.5% (₹)</t>
  </si>
  <si>
    <t xml:space="preserve">Loss if spot moves 0.5% beyond outer strike on last day. = (Strike − Spot) × lot × contracts</t>
  </si>
  <si>
    <t xml:space="preserve">CALL LEG →</t>
  </si>
  <si>
    <t xml:space="preserve">+2.5%
23,268</t>
  </si>
  <si>
    <t xml:space="preserve">+3.0%
23,381</t>
  </si>
  <si>
    <t xml:space="preserve">+3.5%
23,494</t>
  </si>
  <si>
    <t xml:space="preserve">+4.0%
23,608</t>
  </si>
  <si>
    <t xml:space="preserve">+6.6%
24,200*</t>
  </si>
  <si>
    <t xml:space="preserve">* Your example from worked case</t>
  </si>
  <si>
    <t xml:space="preserve">SELL★</t>
  </si>
  <si>
    <t xml:space="preserve">GLOSSARY — LIVE SIGNAL SHEET</t>
  </si>
  <si>
    <t xml:space="preserve">Prob N(d2)</t>
  </si>
  <si>
    <t xml:space="preserve">Black-Scholes N(d2): probability the option expires worthless (out-of-the-money). Inputs: Spot, Strike, IV (annualised), Risk-free rate (~6.5% India), holiday-adjusted DTE. 94% on a put means: market implies 94% chance spot stays above that strike at expiry.</t>
  </si>
  <si>
    <t xml:space="preserve">Theta ÷ |Vega|. Number of IV percentage-points that must spike in ONE day to wipe your entire daily Theta income. Example: Theta=+₹440, Vega=−₹220 → ratio=2.0x → IV needs to rise 2 full points (e.g. 14%→16%) in a single day to cancel out your decay income. ≥2x green · 1–2x amber · &lt;1x red.</t>
  </si>
  <si>
    <t xml:space="preserve">Composite 0–100. Formula: (N(d2) probability × 0.60) + (IVP quality score × 0.40). IVP quality score = IVP × 1.25 capped at 100 (peaks at IVP=80). Threshold for SELL is set in Config sheet (default 65). Raise to 75 for conservative weeks.</t>
  </si>
  <si>
    <t xml:space="preserve">Extreme loss 0.5%</t>
  </si>
  <si>
    <t xml:space="preserve">Scenario: spot moves 0.5% BEYOND the outer strike on the last trading day before expiry. Why 0.5%? You enter at fag-end of theta decay on near-expiry contracts — extreme moves beyond this are tail events. Formula: (Strike − Spot_extreme) × lot_size × no_of_contracts. Shown as negative ₹ loss. Use this to size position so loss &lt; 5% of capital.</t>
  </si>
  <si>
    <t xml:space="preserve">Holiday DTE</t>
  </si>
  <si>
    <t xml:space="preserve">Effective DTE = Calendar days to expiry MINUS weekend days MINUS NSE public holidays. Example: Trade on Apr 3 (Thursday), expiry Apr 7 (Monday). Apr 5 (Sat), Apr 6 (Sun) = 0 trading. Effective DTE = 2 (Thu close → Mon open only). This compresses Theta AND tightens N(d2) — probability rises sharply, making far-OTM sells safer near expiry.</t>
  </si>
  <si>
    <t xml:space="preserve">Display rules</t>
  </si>
  <si>
    <t xml:space="preserve">All ₹ values: integers only, Indian comma format. Percentages: one decimal place. Ratios: one decimal + x. Scores: integer. Negative P&amp;L: shown in (brackets).</t>
  </si>
  <si>
    <t xml:space="preserve">IV HISTORY — Tab 3: 30-Period Chart  |  Period selector: 1D / 1H / 5M</t>
  </si>
  <si>
    <t xml:space="preserve">DATA SOURCE: NSE Bhavcopy for 1D (EOD IV from ATM mid-price).  DhanHQ Historical API or Kite Instruments for 1H and 5M intraday.  Pull last 30 periods of the selected timeframe.  NIFTY IV = ATM straddle mid ÷ spot × √(365/DTE) × 100 (annualised).  SENSEX IV = same formula applied to BSE option chain.</t>
  </si>
  <si>
    <t xml:space="preserve">Period #</t>
  </si>
  <si>
    <t xml:space="preserve">Date / Time</t>
  </si>
  <si>
    <t xml:space="preserve">NIFTY ATM IV%</t>
  </si>
  <si>
    <t xml:space="preserve">NIFTY IVP rank</t>
  </si>
  <si>
    <t xml:space="preserve">SENSEX ATM IV%</t>
  </si>
  <si>
    <t xml:space="preserve">SENSEX IVP rank</t>
  </si>
  <si>
    <t xml:space="preserve">Notes</t>
  </si>
  <si>
    <t xml:space="preserve">← pull from data source (period 30)</t>
  </si>
  <si>
    <t xml:space="preserve">← API / Bhavcopy</t>
  </si>
  <si>
    <t xml:space="preserve">Auto from IVP rank</t>
  </si>
  <si>
    <t xml:space="preserve">← pull from data source (period 29)</t>
  </si>
  <si>
    <t xml:space="preserve">← pull from data source (period 28)</t>
  </si>
  <si>
    <t xml:space="preserve">← pull from data source (period 27)</t>
  </si>
  <si>
    <t xml:space="preserve">← pull from data source (period 26)</t>
  </si>
  <si>
    <t xml:space="preserve">← pull from data source (period 25)</t>
  </si>
  <si>
    <t xml:space="preserve">← pull from data source (period 24)</t>
  </si>
  <si>
    <t xml:space="preserve">← pull from data source (period 23)</t>
  </si>
  <si>
    <t xml:space="preserve">← pull from data source (period 22)</t>
  </si>
  <si>
    <t xml:space="preserve">← pull from data source (period 21)</t>
  </si>
  <si>
    <t xml:space="preserve">← pull from data source (period 20)</t>
  </si>
  <si>
    <t xml:space="preserve">← pull from data source (period 19)</t>
  </si>
  <si>
    <t xml:space="preserve">← pull from data source (period 18)</t>
  </si>
  <si>
    <t xml:space="preserve">← pull from data source (period 17)</t>
  </si>
  <si>
    <t xml:space="preserve">← pull from data source (period 16)</t>
  </si>
  <si>
    <t xml:space="preserve">← pull from data source (period 15)</t>
  </si>
  <si>
    <t xml:space="preserve">← pull from data source (period 14)</t>
  </si>
  <si>
    <t xml:space="preserve">← pull from data source (period 13)</t>
  </si>
  <si>
    <t xml:space="preserve">← pull from data source (period 12)</t>
  </si>
  <si>
    <t xml:space="preserve">← pull from data source (period 11)</t>
  </si>
  <si>
    <t xml:space="preserve">← pull from data source (period 10)</t>
  </si>
  <si>
    <t xml:space="preserve">← pull from data source (period 9)</t>
  </si>
  <si>
    <t xml:space="preserve">← pull from data source (period 8)</t>
  </si>
  <si>
    <t xml:space="preserve">← pull from data source (period 7)</t>
  </si>
  <si>
    <t xml:space="preserve">← pull from data source (period 6)</t>
  </si>
  <si>
    <t xml:space="preserve">← pull from data source (period 5)</t>
  </si>
  <si>
    <t xml:space="preserve">← pull from data source (period 4)</t>
  </si>
  <si>
    <t xml:space="preserve">← pull from data source (period 3)</t>
  </si>
  <si>
    <t xml:space="preserve">← pull from data source (period 2)</t>
  </si>
  <si>
    <t xml:space="preserve">← pull from data source (period 1)</t>
  </si>
  <si>
    <t xml:space="preserve">INSERT CHART HERE: Select B5:C34, Insert → Line Chart → 'NIFTY ATM IV (30 periods)'. Add second series E5:E34 for SENSEX IV. Add horizontal reference lines at IVP Floor (Config!B14) and Ceiling (Config!B15). Label axes: X = Period, Y = IV%. Title = 'Implied Volatility — Last 30 Periods'.</t>
  </si>
  <si>
    <t xml:space="preserve">GLOSSARY — IV HISTORY SHEET</t>
  </si>
  <si>
    <t xml:space="preserve">ATM IV%</t>
  </si>
  <si>
    <t xml:space="preserve">Implied Volatility extracted from At-The-Money option mid-price using Black-Scholes reverse. Represents market's consensus forecast of future volatility. Higher = market fears larger moves.</t>
  </si>
  <si>
    <t xml:space="preserve">IVP rank</t>
  </si>
  <si>
    <t xml:space="preserve">IV Percentile over last 30 periods of selected timeframe. Formula: count(periods where IV &lt; today's IV) ÷ 30. 0% = IV at historic low. 100% = IV at historic high. Trade zone: 20%–80%.</t>
  </si>
  <si>
    <t xml:space="preserve">1D period</t>
  </si>
  <si>
    <t xml:space="preserve">Each row = one trading day's closing ATM IV. Source: NSE Bhavcopy. Free, T+1 available by 6 PM.</t>
  </si>
  <si>
    <t xml:space="preserve">1H period</t>
  </si>
  <si>
    <t xml:space="preserve">Each row = one hourly candle IV snapshot. Source: DhanHQ Historical API or Kite Instruments endpoint. Requires API key. Best for intraday signal refinement.</t>
  </si>
  <si>
    <t xml:space="preserve">5M period</t>
  </si>
  <si>
    <t xml:space="preserve">Each row = one 5-minute candle. Source: same as 1H. Use only for final-hour entry timing. High noise — cross-check with 1D IVP before acting.</t>
  </si>
  <si>
    <t xml:space="preserve">How to read</t>
  </si>
  <si>
    <t xml:space="preserve">Rising IV + low IVP → vol expanding from base → cautious. Falling IV + high IVP → vol compressing from peak → ideal selling environment. Flat IV in mid-IVP → stable → standard signal logic applies.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</si>
</sst>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₹#,##0;&quot;(₹&quot;#,##0\);\-"/>
    <numFmt numFmtId="166" formatCode="0.0%"/>
    <numFmt numFmtId="167" formatCode="#,##0"/>
    <numFmt numFmtId="168" formatCode="0%"/>
    <numFmt numFmtId="169" formatCode="0.0\x"/>
    <numFmt numFmtId="170" formatCode="0&quot;/100&quot;"/>
    <numFmt numFmtId="171" formatCode="\₹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9"/>
      <color rgb="FF1F3864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D9D9D9"/>
        <bgColor rgb="FFDEEAF1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EEAF1"/>
      </patternFill>
    </fill>
    <fill>
      <patternFill patternType="solid">
        <fgColor rgb="FFFFC7CE"/>
        <bgColor rgb="FFD9D9D9"/>
      </patternFill>
    </fill>
    <fill>
      <patternFill patternType="solid">
        <fgColor rgb="FF1F4E79"/>
        <bgColor rgb="FF1F3864"/>
      </patternFill>
    </fill>
    <fill>
      <patternFill patternType="solid">
        <fgColor rgb="FFDEEAF1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medium">
        <color rgb="FF59595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595959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40"/>
  </cols>
  <sheetData>
    <row r="1" customFormat="false" ht="21.75" hidden="false" customHeight="true" outlineLevel="0" collapsed="false">
      <c r="A1" s="2" t="s">
        <v>0</v>
      </c>
      <c r="B1" s="2"/>
      <c r="C1" s="2"/>
    </row>
    <row r="2" customFormat="false" ht="19.5" hidden="false" customHeight="true" outlineLevel="0" collapsed="false">
      <c r="A2" s="3" t="s">
        <v>1</v>
      </c>
      <c r="B2" s="4"/>
      <c r="C2" s="5" t="s">
        <v>2</v>
      </c>
    </row>
    <row r="3" customFormat="false" ht="19.5" hidden="false" customHeight="true" outlineLevel="0" collapsed="false">
      <c r="A3" s="6" t="s">
        <v>3</v>
      </c>
      <c r="B3" s="7" t="n">
        <v>22700</v>
      </c>
      <c r="C3" s="5" t="s">
        <v>4</v>
      </c>
    </row>
    <row r="4" customFormat="false" ht="19.5" hidden="false" customHeight="true" outlineLevel="0" collapsed="false">
      <c r="A4" s="6" t="s">
        <v>5</v>
      </c>
      <c r="B4" s="8" t="n">
        <v>0.0038</v>
      </c>
      <c r="C4" s="5" t="s">
        <v>6</v>
      </c>
    </row>
    <row r="5" customFormat="false" ht="19.5" hidden="false" customHeight="true" outlineLevel="0" collapsed="false">
      <c r="A5" s="6" t="s">
        <v>7</v>
      </c>
      <c r="B5" s="8" t="n">
        <v>0.142</v>
      </c>
      <c r="C5" s="5" t="s">
        <v>8</v>
      </c>
    </row>
    <row r="6" customFormat="false" ht="19.5" hidden="false" customHeight="true" outlineLevel="0" collapsed="false">
      <c r="A6" s="6" t="s">
        <v>9</v>
      </c>
      <c r="B6" s="7" t="n">
        <v>79408</v>
      </c>
      <c r="C6" s="5" t="s">
        <v>10</v>
      </c>
    </row>
    <row r="7" customFormat="false" ht="19.5" hidden="false" customHeight="true" outlineLevel="0" collapsed="false">
      <c r="A7" s="6" t="s">
        <v>11</v>
      </c>
      <c r="B7" s="9" t="n">
        <v>-0.0014</v>
      </c>
      <c r="C7" s="5" t="s">
        <v>12</v>
      </c>
    </row>
    <row r="8" customFormat="false" ht="19.5" hidden="false" customHeight="true" outlineLevel="0" collapsed="false">
      <c r="A8" s="6" t="s">
        <v>13</v>
      </c>
      <c r="B8" s="8" t="n">
        <v>0.138</v>
      </c>
      <c r="C8" s="5" t="s">
        <v>12</v>
      </c>
    </row>
    <row r="9" customFormat="false" ht="19.5" hidden="false" customHeight="true" outlineLevel="0" collapsed="false">
      <c r="A9" s="3" t="s">
        <v>14</v>
      </c>
      <c r="B9" s="4"/>
      <c r="C9" s="5"/>
    </row>
    <row r="10" customFormat="false" ht="19.5" hidden="false" customHeight="true" outlineLevel="0" collapsed="false">
      <c r="A10" s="6" t="s">
        <v>15</v>
      </c>
      <c r="B10" s="8" t="n">
        <v>0.42</v>
      </c>
      <c r="C10" s="5" t="s">
        <v>16</v>
      </c>
    </row>
    <row r="11" customFormat="false" ht="19.5" hidden="false" customHeight="true" outlineLevel="0" collapsed="false">
      <c r="A11" s="3" t="s">
        <v>17</v>
      </c>
      <c r="B11" s="4"/>
      <c r="C11" s="5"/>
    </row>
    <row r="12" customFormat="false" ht="19.5" hidden="false" customHeight="true" outlineLevel="0" collapsed="false">
      <c r="A12" s="6" t="s">
        <v>18</v>
      </c>
      <c r="B12" s="9" t="s">
        <v>19</v>
      </c>
      <c r="C12" s="5" t="s">
        <v>20</v>
      </c>
    </row>
    <row r="13" customFormat="false" ht="19.5" hidden="false" customHeight="true" outlineLevel="0" collapsed="false">
      <c r="A13" s="6" t="s">
        <v>21</v>
      </c>
      <c r="B13" s="9" t="n">
        <v>2</v>
      </c>
      <c r="C13" s="5" t="s">
        <v>22</v>
      </c>
    </row>
    <row r="14" customFormat="false" ht="19.5" hidden="false" customHeight="true" outlineLevel="0" collapsed="false">
      <c r="A14" s="3" t="s">
        <v>23</v>
      </c>
      <c r="B14" s="4"/>
      <c r="C14" s="5"/>
    </row>
    <row r="15" customFormat="false" ht="19.5" hidden="false" customHeight="true" outlineLevel="0" collapsed="false">
      <c r="A15" s="6" t="s">
        <v>24</v>
      </c>
      <c r="B15" s="8" t="n">
        <v>0.2</v>
      </c>
      <c r="C15" s="5" t="s">
        <v>25</v>
      </c>
    </row>
    <row r="16" customFormat="false" ht="19.5" hidden="false" customHeight="true" outlineLevel="0" collapsed="false">
      <c r="A16" s="6" t="s">
        <v>26</v>
      </c>
      <c r="B16" s="8" t="n">
        <v>0.8</v>
      </c>
      <c r="C16" s="5" t="s">
        <v>27</v>
      </c>
    </row>
    <row r="17" customFormat="false" ht="19.5" hidden="false" customHeight="true" outlineLevel="0" collapsed="false">
      <c r="A17" s="6" t="s">
        <v>28</v>
      </c>
      <c r="B17" s="9" t="n">
        <v>65</v>
      </c>
      <c r="C17" s="5" t="s">
        <v>29</v>
      </c>
    </row>
    <row r="18" customFormat="false" ht="19.5" hidden="false" customHeight="true" outlineLevel="0" collapsed="false">
      <c r="A18" s="6" t="s">
        <v>30</v>
      </c>
      <c r="B18" s="9" t="s">
        <v>31</v>
      </c>
      <c r="C18" s="5" t="s">
        <v>32</v>
      </c>
    </row>
    <row r="19" customFormat="false" ht="19.5" hidden="false" customHeight="true" outlineLevel="0" collapsed="false">
      <c r="A19" s="6" t="s">
        <v>33</v>
      </c>
      <c r="B19" s="9" t="n">
        <v>12</v>
      </c>
      <c r="C19" s="5" t="s">
        <v>34</v>
      </c>
    </row>
    <row r="20" customFormat="false" ht="19.5" hidden="false" customHeight="true" outlineLevel="0" collapsed="false">
      <c r="A20" s="3" t="s">
        <v>35</v>
      </c>
      <c r="B20" s="4"/>
      <c r="C20" s="5"/>
    </row>
    <row r="21" customFormat="false" ht="19.5" hidden="false" customHeight="true" outlineLevel="0" collapsed="false">
      <c r="A21" s="6" t="s">
        <v>36</v>
      </c>
      <c r="B21" s="9" t="s">
        <v>37</v>
      </c>
      <c r="C21" s="5" t="s">
        <v>38</v>
      </c>
    </row>
    <row r="22" customFormat="false" ht="19.5" hidden="false" customHeight="true" outlineLevel="0" collapsed="false">
      <c r="A22" s="6" t="s">
        <v>39</v>
      </c>
      <c r="B22" s="9" t="n">
        <v>65</v>
      </c>
      <c r="C22" s="5" t="s">
        <v>40</v>
      </c>
    </row>
    <row r="23" customFormat="false" ht="19.5" hidden="false" customHeight="true" outlineLevel="0" collapsed="false">
      <c r="A23" s="6" t="s">
        <v>41</v>
      </c>
      <c r="B23" s="9" t="n">
        <v>10</v>
      </c>
      <c r="C23" s="5" t="s">
        <v>42</v>
      </c>
    </row>
    <row r="24" customFormat="false" ht="19.5" hidden="false" customHeight="true" outlineLevel="0" collapsed="false">
      <c r="A24" s="6" t="s">
        <v>43</v>
      </c>
      <c r="B24" s="7" t="n">
        <v>500000</v>
      </c>
      <c r="C24" s="5" t="s">
        <v>44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1" min="2" style="1" width="14"/>
    <col collapsed="false" customWidth="true" hidden="false" outlineLevel="0" max="12" min="12" style="1" width="26"/>
  </cols>
  <sheetData>
    <row r="1" customFormat="false" ht="27.75" hidden="false" customHeight="true" outlineLevel="0" collapsed="false">
      <c r="A1" s="10" t="s">
        <v>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39.75" hidden="false" customHeight="true" outlineLevel="0" collapsed="false">
      <c r="A2" s="11" t="s">
        <v>46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21.75" hidden="false" customHeight="true" outlineLevel="0" collapsed="false">
      <c r="A3" s="12" t="s">
        <v>3</v>
      </c>
      <c r="B3" s="13" t="n">
        <f aca="false">Config!B3</f>
        <v>22700</v>
      </c>
      <c r="C3" s="12" t="s">
        <v>47</v>
      </c>
      <c r="D3" s="14" t="n">
        <f aca="false">Config!B4</f>
        <v>0.0038</v>
      </c>
      <c r="E3" s="12" t="s">
        <v>48</v>
      </c>
      <c r="F3" s="14" t="n">
        <f aca="false">Config!B5</f>
        <v>0.142</v>
      </c>
      <c r="G3" s="12" t="s">
        <v>9</v>
      </c>
      <c r="H3" s="13" t="n">
        <f aca="false">Config!B7</f>
        <v>-0.0014</v>
      </c>
      <c r="I3" s="12" t="s">
        <v>49</v>
      </c>
      <c r="J3" s="14" t="n">
        <f aca="false">Config!B8</f>
        <v>0.138</v>
      </c>
      <c r="K3" s="12" t="s">
        <v>50</v>
      </c>
      <c r="L3" s="14" t="n">
        <f aca="false">Config!B9</f>
        <v>0</v>
      </c>
    </row>
    <row r="4" customFormat="false" ht="13.5" hidden="false" customHeight="true" outlineLevel="0" collapsed="false">
      <c r="A4" s="15" t="s">
        <v>51</v>
      </c>
      <c r="B4" s="15" t="s">
        <v>52</v>
      </c>
      <c r="C4" s="15" t="s">
        <v>53</v>
      </c>
      <c r="D4" s="15" t="s">
        <v>54</v>
      </c>
      <c r="E4" s="15" t="s">
        <v>55</v>
      </c>
      <c r="F4" s="15" t="s">
        <v>56</v>
      </c>
      <c r="G4" s="15" t="s">
        <v>57</v>
      </c>
      <c r="H4" s="15" t="s">
        <v>28</v>
      </c>
      <c r="I4" s="15" t="s">
        <v>58</v>
      </c>
      <c r="J4" s="15"/>
      <c r="K4" s="15"/>
      <c r="L4" s="15"/>
    </row>
    <row r="5" customFormat="false" ht="21.75" hidden="false" customHeight="true" outlineLevel="0" collapsed="false">
      <c r="A5" s="9" t="s">
        <v>37</v>
      </c>
      <c r="B5" s="9" t="s">
        <v>59</v>
      </c>
      <c r="C5" s="9" t="s">
        <v>60</v>
      </c>
      <c r="D5" s="9" t="n">
        <v>12</v>
      </c>
      <c r="E5" s="16" t="n">
        <v>20</v>
      </c>
      <c r="F5" s="16" t="n">
        <v>80</v>
      </c>
      <c r="G5" s="9" t="s">
        <v>31</v>
      </c>
      <c r="H5" s="9" t="n">
        <v>65</v>
      </c>
      <c r="I5" s="9" t="s">
        <v>61</v>
      </c>
      <c r="J5" s="9"/>
      <c r="K5" s="9"/>
      <c r="L5" s="9"/>
    </row>
    <row r="6" customFormat="false" ht="36" hidden="false" customHeight="true" outlineLevel="0" collapsed="false">
      <c r="A6" s="17" t="s">
        <v>62</v>
      </c>
      <c r="B6" s="17" t="s">
        <v>63</v>
      </c>
      <c r="C6" s="17" t="s">
        <v>64</v>
      </c>
      <c r="D6" s="17" t="s">
        <v>65</v>
      </c>
      <c r="E6" s="17" t="s">
        <v>66</v>
      </c>
      <c r="F6" s="17" t="s">
        <v>67</v>
      </c>
      <c r="G6" s="17" t="s">
        <v>68</v>
      </c>
      <c r="H6" s="17" t="s">
        <v>69</v>
      </c>
      <c r="I6" s="17" t="s">
        <v>70</v>
      </c>
      <c r="J6" s="17" t="s">
        <v>71</v>
      </c>
      <c r="K6" s="17" t="s">
        <v>72</v>
      </c>
      <c r="L6" s="17" t="s">
        <v>73</v>
      </c>
    </row>
    <row r="7" customFormat="false" ht="13.5" hidden="false" customHeight="true" outlineLevel="0" collapsed="false">
      <c r="A7" s="18" t="s">
        <v>74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customFormat="false" ht="19.5" hidden="false" customHeight="true" outlineLevel="0" collapsed="false">
      <c r="A8" s="19" t="s">
        <v>75</v>
      </c>
      <c r="B8" s="20" t="n">
        <v>16840</v>
      </c>
      <c r="C8" s="20" t="n">
        <v>1980</v>
      </c>
      <c r="D8" s="21" t="n">
        <f aca="false">B8-C8</f>
        <v>14860</v>
      </c>
      <c r="E8" s="22" t="n">
        <f aca="false">IFERROR(D8/(Config!B24*Config!B19),0)</f>
        <v>0.00247666666666667</v>
      </c>
      <c r="F8" s="22" t="n">
        <f aca="false">IFERROR(D8/Config!B24,0)</f>
        <v>0.02972</v>
      </c>
      <c r="G8" s="23" t="n">
        <v>-5613</v>
      </c>
      <c r="H8" s="22" t="n">
        <f aca="false">IFERROR(G8/(Config!B24*Config!B19),0)</f>
        <v>-0.0009355</v>
      </c>
      <c r="I8" s="20" t="n">
        <v>-340</v>
      </c>
      <c r="J8" s="20" t="n">
        <v>620</v>
      </c>
      <c r="K8" s="24" t="n">
        <f aca="false">J8/ABS(I8)</f>
        <v>1.82352941176471</v>
      </c>
      <c r="L8" s="25" t="n">
        <f aca="false">MIN(100,ROUND(J8/ABS(I8)*30+50,0))</f>
        <v>100</v>
      </c>
    </row>
    <row r="9" customFormat="false" ht="19.5" hidden="false" customHeight="true" outlineLevel="0" collapsed="false">
      <c r="A9" s="19" t="s">
        <v>76</v>
      </c>
      <c r="B9" s="20" t="n">
        <v>20480</v>
      </c>
      <c r="C9" s="20" t="n">
        <v>2060</v>
      </c>
      <c r="D9" s="21" t="n">
        <f aca="false">B9-C9</f>
        <v>18420</v>
      </c>
      <c r="E9" s="22" t="n">
        <f aca="false">IFERROR(D9/(Config!B24*Config!B19),0)</f>
        <v>0.00307</v>
      </c>
      <c r="F9" s="22" t="n">
        <f aca="false">IFERROR(D9/Config!B24,0)</f>
        <v>0.03684</v>
      </c>
      <c r="G9" s="23" t="n">
        <v>-6826</v>
      </c>
      <c r="H9" s="22" t="n">
        <f aca="false">IFERROR(G9/(Config!B24*Config!B19),0)</f>
        <v>-0.00113766666666667</v>
      </c>
      <c r="I9" s="20" t="n">
        <v>-290</v>
      </c>
      <c r="J9" s="20" t="n">
        <v>510</v>
      </c>
      <c r="K9" s="24" t="n">
        <f aca="false">J9/ABS(I9)</f>
        <v>1.75862068965517</v>
      </c>
      <c r="L9" s="25" t="n">
        <f aca="false">MIN(100,ROUND(J9/ABS(I9)*30+50,0))</f>
        <v>100</v>
      </c>
    </row>
    <row r="10" customFormat="false" ht="19.5" hidden="false" customHeight="true" outlineLevel="0" collapsed="false">
      <c r="A10" s="26" t="s">
        <v>77</v>
      </c>
      <c r="B10" s="20" t="n">
        <v>24960</v>
      </c>
      <c r="C10" s="20" t="n">
        <v>2200</v>
      </c>
      <c r="D10" s="21" t="n">
        <f aca="false">B10-C10</f>
        <v>22760</v>
      </c>
      <c r="E10" s="22" t="n">
        <f aca="false">IFERROR(D10/(Config!B24*Config!B19),0)</f>
        <v>0.00379333333333333</v>
      </c>
      <c r="F10" s="22" t="n">
        <f aca="false">IFERROR(D10/Config!B24,0)</f>
        <v>0.04552</v>
      </c>
      <c r="G10" s="23" t="n">
        <v>-8320</v>
      </c>
      <c r="H10" s="22" t="n">
        <f aca="false">IFERROR(G10/(Config!B24*Config!B19),0)</f>
        <v>-0.00138666666666667</v>
      </c>
      <c r="I10" s="20" t="n">
        <v>-220</v>
      </c>
      <c r="J10" s="20" t="n">
        <v>440</v>
      </c>
      <c r="K10" s="24" t="n">
        <f aca="false">J10/ABS(I10)</f>
        <v>2</v>
      </c>
      <c r="L10" s="25" t="n">
        <f aca="false">MIN(100,ROUND(J10/ABS(I10)*30+50,0))</f>
        <v>100</v>
      </c>
    </row>
    <row r="11" customFormat="false" ht="19.5" hidden="false" customHeight="true" outlineLevel="0" collapsed="false">
      <c r="A11" s="19" t="s">
        <v>78</v>
      </c>
      <c r="B11" s="20" t="n">
        <v>18700</v>
      </c>
      <c r="C11" s="20" t="n">
        <v>2110</v>
      </c>
      <c r="D11" s="21" t="n">
        <f aca="false">B11-C11</f>
        <v>16590</v>
      </c>
      <c r="E11" s="22" t="n">
        <f aca="false">IFERROR(D11/(Config!B24*Config!B19),0)</f>
        <v>0.002765</v>
      </c>
      <c r="F11" s="22" t="n">
        <f aca="false">IFERROR(D11/Config!B24,0)</f>
        <v>0.03318</v>
      </c>
      <c r="G11" s="23" t="n">
        <v>-6233</v>
      </c>
      <c r="H11" s="22" t="n">
        <f aca="false">IFERROR(G11/(Config!B24*Config!B19),0)</f>
        <v>-0.00103883333333333</v>
      </c>
      <c r="I11" s="20" t="n">
        <v>-160</v>
      </c>
      <c r="J11" s="20" t="n">
        <v>370</v>
      </c>
      <c r="K11" s="24" t="n">
        <f aca="false">J11/ABS(I11)</f>
        <v>2.3125</v>
      </c>
      <c r="L11" s="25" t="n">
        <f aca="false">MIN(100,ROUND(J11/ABS(I11)*30+50,0))</f>
        <v>100</v>
      </c>
    </row>
    <row r="12" customFormat="false" ht="19.5" hidden="false" customHeight="true" outlineLevel="0" collapsed="false">
      <c r="A12" s="19" t="s">
        <v>79</v>
      </c>
      <c r="B12" s="20" t="n">
        <v>11200</v>
      </c>
      <c r="C12" s="20" t="n">
        <v>2010</v>
      </c>
      <c r="D12" s="21" t="n">
        <f aca="false">B12-C12</f>
        <v>9190</v>
      </c>
      <c r="E12" s="22" t="n">
        <f aca="false">IFERROR(D12/(Config!B24*Config!B19),0)</f>
        <v>0.00153166666666667</v>
      </c>
      <c r="F12" s="22" t="n">
        <f aca="false">IFERROR(D12/Config!B24,0)</f>
        <v>0.01838</v>
      </c>
      <c r="G12" s="23" t="n">
        <v>-3733</v>
      </c>
      <c r="H12" s="22" t="n">
        <f aca="false">IFERROR(G12/(Config!B24*Config!B19),0)</f>
        <v>-0.000622166666666667</v>
      </c>
      <c r="I12" s="20" t="n">
        <v>-110</v>
      </c>
      <c r="J12" s="20" t="n">
        <v>290</v>
      </c>
      <c r="K12" s="24" t="n">
        <f aca="false">J12/ABS(I12)</f>
        <v>2.63636363636364</v>
      </c>
      <c r="L12" s="25" t="n">
        <f aca="false">MIN(100,ROUND(J12/ABS(I12)*30+50,0))</f>
        <v>100</v>
      </c>
    </row>
    <row r="13" customFormat="false" ht="13.5" hidden="false" customHeight="true" outlineLevel="0" collapsed="false">
      <c r="A13" s="27" t="s">
        <v>80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</row>
    <row r="14" customFormat="false" ht="19.5" hidden="false" customHeight="true" outlineLevel="0" collapsed="false">
      <c r="A14" s="28" t="s">
        <v>75</v>
      </c>
      <c r="B14" s="29" t="n">
        <v>9200</v>
      </c>
      <c r="C14" s="29" t="n">
        <v>1050</v>
      </c>
      <c r="D14" s="21" t="n">
        <f aca="false">B14-C14</f>
        <v>8150</v>
      </c>
      <c r="E14" s="22" t="n">
        <f aca="false">IFERROR(D14/(Config!B24*Config!B19),0)</f>
        <v>0.00135833333333333</v>
      </c>
      <c r="F14" s="22" t="n">
        <f aca="false">IFERROR(D14/Config!B24,0)</f>
        <v>0.0163</v>
      </c>
      <c r="G14" s="23" t="n">
        <v>-3066</v>
      </c>
      <c r="H14" s="22" t="n">
        <f aca="false">IFERROR(G14/(Config!B24*Config!B19),0)</f>
        <v>-0.000511</v>
      </c>
      <c r="I14" s="29" t="n">
        <v>-180</v>
      </c>
      <c r="J14" s="29" t="n">
        <v>340</v>
      </c>
      <c r="K14" s="24" t="n">
        <f aca="false">J14/ABS(I14)</f>
        <v>1.88888888888889</v>
      </c>
      <c r="L14" s="25" t="n">
        <f aca="false">MIN(100,ROUND(J14/ABS(I14)*30+50,0))</f>
        <v>100</v>
      </c>
    </row>
    <row r="15" customFormat="false" ht="19.5" hidden="false" customHeight="true" outlineLevel="0" collapsed="false">
      <c r="A15" s="28" t="s">
        <v>76</v>
      </c>
      <c r="B15" s="29" t="n">
        <v>11600</v>
      </c>
      <c r="C15" s="29" t="n">
        <v>1100</v>
      </c>
      <c r="D15" s="21" t="n">
        <f aca="false">B15-C15</f>
        <v>10500</v>
      </c>
      <c r="E15" s="22" t="n">
        <f aca="false">IFERROR(D15/(Config!B24*Config!B19),0)</f>
        <v>0.00175</v>
      </c>
      <c r="F15" s="22" t="n">
        <f aca="false">IFERROR(D15/Config!B24,0)</f>
        <v>0.021</v>
      </c>
      <c r="G15" s="23" t="n">
        <v>-3866</v>
      </c>
      <c r="H15" s="22" t="n">
        <f aca="false">IFERROR(G15/(Config!B24*Config!B19),0)</f>
        <v>-0.000644333333333333</v>
      </c>
      <c r="I15" s="29" t="n">
        <v>-150</v>
      </c>
      <c r="J15" s="29" t="n">
        <v>280</v>
      </c>
      <c r="K15" s="24" t="n">
        <f aca="false">J15/ABS(I15)</f>
        <v>1.86666666666667</v>
      </c>
      <c r="L15" s="25" t="n">
        <f aca="false">MIN(100,ROUND(J15/ABS(I15)*30+50,0))</f>
        <v>100</v>
      </c>
    </row>
    <row r="16" customFormat="false" ht="19.5" hidden="false" customHeight="true" outlineLevel="0" collapsed="false">
      <c r="A16" s="30" t="s">
        <v>77</v>
      </c>
      <c r="B16" s="29" t="n">
        <v>13800</v>
      </c>
      <c r="C16" s="29" t="n">
        <v>1160</v>
      </c>
      <c r="D16" s="21" t="n">
        <f aca="false">B16-C16</f>
        <v>12640</v>
      </c>
      <c r="E16" s="22" t="n">
        <f aca="false">IFERROR(D16/(Config!B24*Config!B19),0)</f>
        <v>0.00210666666666667</v>
      </c>
      <c r="F16" s="22" t="n">
        <f aca="false">IFERROR(D16/Config!B24,0)</f>
        <v>0.02528</v>
      </c>
      <c r="G16" s="23" t="n">
        <v>-4600</v>
      </c>
      <c r="H16" s="22" t="n">
        <f aca="false">IFERROR(G16/(Config!B24*Config!B19),0)</f>
        <v>-0.000766666666666667</v>
      </c>
      <c r="I16" s="29" t="n">
        <v>-110</v>
      </c>
      <c r="J16" s="29" t="n">
        <v>230</v>
      </c>
      <c r="K16" s="24" t="n">
        <f aca="false">J16/ABS(I16)</f>
        <v>2.09090909090909</v>
      </c>
      <c r="L16" s="25" t="n">
        <f aca="false">MIN(100,ROUND(J16/ABS(I16)*30+50,0))</f>
        <v>100</v>
      </c>
    </row>
    <row r="17" customFormat="false" ht="19.5" hidden="false" customHeight="true" outlineLevel="0" collapsed="false">
      <c r="A17" s="28" t="s">
        <v>78</v>
      </c>
      <c r="B17" s="29" t="n">
        <v>10400</v>
      </c>
      <c r="C17" s="29" t="n">
        <v>1120</v>
      </c>
      <c r="D17" s="21" t="n">
        <f aca="false">B17-C17</f>
        <v>9280</v>
      </c>
      <c r="E17" s="22" t="n">
        <f aca="false">IFERROR(D17/(Config!B24*Config!B19),0)</f>
        <v>0.00154666666666667</v>
      </c>
      <c r="F17" s="22" t="n">
        <f aca="false">IFERROR(D17/Config!B24,0)</f>
        <v>0.01856</v>
      </c>
      <c r="G17" s="23" t="n">
        <v>-3466</v>
      </c>
      <c r="H17" s="22" t="n">
        <f aca="false">IFERROR(G17/(Config!B24*Config!B19),0)</f>
        <v>-0.000577666666666667</v>
      </c>
      <c r="I17" s="29" t="n">
        <v>-90</v>
      </c>
      <c r="J17" s="29" t="n">
        <v>200</v>
      </c>
      <c r="K17" s="24" t="n">
        <f aca="false">J17/ABS(I17)</f>
        <v>2.22222222222222</v>
      </c>
      <c r="L17" s="25" t="n">
        <f aca="false">MIN(100,ROUND(J17/ABS(I17)*30+50,0))</f>
        <v>100</v>
      </c>
    </row>
    <row r="18" customFormat="false" ht="19.5" hidden="false" customHeight="true" outlineLevel="0" collapsed="false">
      <c r="A18" s="28" t="s">
        <v>79</v>
      </c>
      <c r="B18" s="29" t="n">
        <v>6800</v>
      </c>
      <c r="C18" s="29" t="n">
        <v>1080</v>
      </c>
      <c r="D18" s="21" t="n">
        <f aca="false">B18-C18</f>
        <v>5720</v>
      </c>
      <c r="E18" s="22" t="n">
        <f aca="false">IFERROR(D18/(Config!B24*Config!B19),0)</f>
        <v>0.000953333333333333</v>
      </c>
      <c r="F18" s="22" t="n">
        <f aca="false">IFERROR(D18/Config!B24,0)</f>
        <v>0.01144</v>
      </c>
      <c r="G18" s="23" t="n">
        <v>-2266</v>
      </c>
      <c r="H18" s="22" t="n">
        <f aca="false">IFERROR(G18/(Config!B24*Config!B19),0)</f>
        <v>-0.000377666666666667</v>
      </c>
      <c r="I18" s="29" t="n">
        <v>-60</v>
      </c>
      <c r="J18" s="29" t="n">
        <v>160</v>
      </c>
      <c r="K18" s="24" t="n">
        <f aca="false">J18/ABS(I18)</f>
        <v>2.66666666666667</v>
      </c>
      <c r="L18" s="25" t="n">
        <f aca="false">MIN(100,ROUND(J18/ABS(I18)*30+50,0))</f>
        <v>100</v>
      </c>
    </row>
    <row r="20" customFormat="false" ht="13.5" hidden="false" customHeight="true" outlineLevel="0" collapsed="false">
      <c r="A20" s="31" t="s">
        <v>81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customFormat="false" ht="27.75" hidden="false" customHeight="true" outlineLevel="0" collapsed="false">
      <c r="A21" s="32" t="s">
        <v>66</v>
      </c>
      <c r="B21" s="33" t="s">
        <v>82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customFormat="false" ht="27.75" hidden="false" customHeight="true" outlineLevel="0" collapsed="false">
      <c r="A22" s="32" t="s">
        <v>69</v>
      </c>
      <c r="B22" s="33" t="s">
        <v>83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customFormat="false" ht="27.75" hidden="false" customHeight="true" outlineLevel="0" collapsed="false">
      <c r="A23" s="32" t="s">
        <v>70</v>
      </c>
      <c r="B23" s="33" t="s">
        <v>84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customFormat="false" ht="27.75" hidden="false" customHeight="true" outlineLevel="0" collapsed="false">
      <c r="A24" s="32" t="s">
        <v>71</v>
      </c>
      <c r="B24" s="33" t="s">
        <v>85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</row>
    <row r="25" customFormat="false" ht="27.75" hidden="false" customHeight="true" outlineLevel="0" collapsed="false">
      <c r="A25" s="32" t="s">
        <v>86</v>
      </c>
      <c r="B25" s="33" t="s">
        <v>87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customFormat="false" ht="27.75" hidden="false" customHeight="true" outlineLevel="0" collapsed="false">
      <c r="A26" s="32" t="s">
        <v>88</v>
      </c>
      <c r="B26" s="33" t="s">
        <v>89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</row>
    <row r="27" customFormat="false" ht="27.75" hidden="false" customHeight="true" outlineLevel="0" collapsed="false">
      <c r="A27" s="32" t="s">
        <v>90</v>
      </c>
      <c r="B27" s="33" t="s">
        <v>91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</row>
    <row r="28" customFormat="false" ht="27.75" hidden="false" customHeight="true" outlineLevel="0" collapsed="false">
      <c r="A28" s="32" t="s">
        <v>92</v>
      </c>
      <c r="B28" s="33" t="s">
        <v>93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customFormat="false" ht="27.75" hidden="false" customHeight="true" outlineLevel="0" collapsed="false">
      <c r="A29" s="32" t="s">
        <v>94</v>
      </c>
      <c r="B29" s="33" t="s">
        <v>95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customFormat="false" ht="27.75" hidden="false" customHeight="true" outlineLevel="0" collapsed="false">
      <c r="A30" s="32" t="s">
        <v>96</v>
      </c>
      <c r="B30" s="33" t="s">
        <v>97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</row>
    <row r="31" customFormat="false" ht="27.75" hidden="false" customHeight="true" outlineLevel="0" collapsed="false">
      <c r="A31" s="32" t="s">
        <v>98</v>
      </c>
      <c r="B31" s="33" t="s">
        <v>99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</row>
    <row r="32" customFormat="false" ht="27.75" hidden="false" customHeight="true" outlineLevel="0" collapsed="false">
      <c r="A32" s="32" t="s">
        <v>100</v>
      </c>
      <c r="B32" s="33" t="s">
        <v>101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</row>
  </sheetData>
  <mergeCells count="17">
    <mergeCell ref="A1:L1"/>
    <mergeCell ref="A2:L2"/>
    <mergeCell ref="A7:L7"/>
    <mergeCell ref="A13:L13"/>
    <mergeCell ref="A20:L20"/>
    <mergeCell ref="B21:L21"/>
    <mergeCell ref="B22:L22"/>
    <mergeCell ref="B23:L23"/>
    <mergeCell ref="B24:L24"/>
    <mergeCell ref="B25:L25"/>
    <mergeCell ref="B26:L26"/>
    <mergeCell ref="B27:L27"/>
    <mergeCell ref="B28:L28"/>
    <mergeCell ref="B29:L29"/>
    <mergeCell ref="B30:L30"/>
    <mergeCell ref="B31:L31"/>
    <mergeCell ref="B32:L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2"/>
    <col collapsed="false" customWidth="true" hidden="false" outlineLevel="0" max="7" min="7" style="1" width="28"/>
  </cols>
  <sheetData>
    <row r="1" customFormat="false" ht="27.75" hidden="false" customHeight="true" outlineLevel="0" collapsed="false">
      <c r="A1" s="10" t="s">
        <v>102</v>
      </c>
      <c r="B1" s="10"/>
      <c r="C1" s="10"/>
      <c r="D1" s="10"/>
      <c r="E1" s="10"/>
      <c r="F1" s="10"/>
      <c r="G1" s="10"/>
    </row>
    <row r="2" customFormat="false" ht="39.75" hidden="false" customHeight="true" outlineLevel="0" collapsed="false">
      <c r="A2" s="11" t="s">
        <v>103</v>
      </c>
      <c r="B2" s="11"/>
      <c r="C2" s="11"/>
      <c r="D2" s="11"/>
      <c r="E2" s="11"/>
      <c r="F2" s="11"/>
      <c r="G2" s="11"/>
    </row>
    <row r="3" customFormat="false" ht="21.75" hidden="false" customHeight="true" outlineLevel="0" collapsed="false">
      <c r="A3" s="12" t="s">
        <v>3</v>
      </c>
      <c r="B3" s="13" t="n">
        <f aca="false">Config!B3</f>
        <v>22700</v>
      </c>
      <c r="C3" s="12" t="s">
        <v>48</v>
      </c>
      <c r="D3" s="14" t="n">
        <f aca="false">Config!B5</f>
        <v>0.142</v>
      </c>
      <c r="E3" s="12" t="s">
        <v>9</v>
      </c>
      <c r="F3" s="13" t="n">
        <f aca="false">Config!B7</f>
        <v>-0.0014</v>
      </c>
      <c r="G3" s="34" t="s">
        <v>104</v>
      </c>
    </row>
    <row r="4" customFormat="false" ht="19.5" hidden="false" customHeight="true" outlineLevel="0" collapsed="false">
      <c r="A4" s="12" t="s">
        <v>105</v>
      </c>
      <c r="B4" s="35" t="str">
        <f aca="false">Config!B12</f>
        <v>7-Apr-2026</v>
      </c>
      <c r="C4" s="12" t="s">
        <v>106</v>
      </c>
      <c r="D4" s="35" t="n">
        <f aca="false">Config!B13</f>
        <v>2</v>
      </c>
      <c r="E4" s="12" t="s">
        <v>107</v>
      </c>
      <c r="F4" s="21" t="n">
        <f aca="false">Config!B6</f>
        <v>79408</v>
      </c>
      <c r="G4" s="12" t="s">
        <v>108</v>
      </c>
    </row>
    <row r="5" customFormat="false" ht="13.5" hidden="false" customHeight="true" outlineLevel="0" collapsed="false">
      <c r="A5" s="36" t="s">
        <v>109</v>
      </c>
      <c r="B5" s="36" t="s">
        <v>110</v>
      </c>
      <c r="C5" s="36" t="s">
        <v>111</v>
      </c>
      <c r="D5" s="36" t="s">
        <v>112</v>
      </c>
      <c r="E5" s="36" t="s">
        <v>113</v>
      </c>
      <c r="F5" s="36" t="s">
        <v>114</v>
      </c>
      <c r="G5" s="36"/>
    </row>
    <row r="6" customFormat="false" ht="19.5" hidden="false" customHeight="true" outlineLevel="0" collapsed="false">
      <c r="A6" s="6" t="s">
        <v>115</v>
      </c>
      <c r="B6" s="37" t="n">
        <v>8</v>
      </c>
      <c r="C6" s="37" t="n">
        <v>14</v>
      </c>
      <c r="D6" s="37" t="n">
        <v>22</v>
      </c>
      <c r="E6" s="37" t="n">
        <v>38</v>
      </c>
      <c r="F6" s="37" t="n">
        <v>64</v>
      </c>
      <c r="G6" s="5" t="s">
        <v>116</v>
      </c>
    </row>
    <row r="7" customFormat="false" ht="19.5" hidden="false" customHeight="true" outlineLevel="0" collapsed="false">
      <c r="A7" s="6" t="s">
        <v>117</v>
      </c>
      <c r="B7" s="37" t="n">
        <f aca="false">IFERROR(B6*65,0)</f>
        <v>520</v>
      </c>
      <c r="C7" s="37" t="n">
        <f aca="false">IFERROR(C6*65,0)</f>
        <v>910</v>
      </c>
      <c r="D7" s="37" t="n">
        <f aca="false">IFERROR(D6*65,0)</f>
        <v>1430</v>
      </c>
      <c r="E7" s="37" t="n">
        <f aca="false">IFERROR(E6*65,0)</f>
        <v>2470</v>
      </c>
      <c r="F7" s="37" t="n">
        <f aca="false">IFERROR(F6*65,0)</f>
        <v>4160</v>
      </c>
      <c r="G7" s="5" t="s">
        <v>118</v>
      </c>
    </row>
    <row r="8" customFormat="false" ht="19.5" hidden="false" customHeight="true" outlineLevel="0" collapsed="false">
      <c r="A8" s="6" t="s">
        <v>119</v>
      </c>
      <c r="B8" s="37" t="n">
        <v>28400</v>
      </c>
      <c r="C8" s="37" t="n">
        <v>29100</v>
      </c>
      <c r="D8" s="37" t="n">
        <v>30200</v>
      </c>
      <c r="E8" s="37" t="n">
        <v>31800</v>
      </c>
      <c r="F8" s="37" t="n">
        <v>33600</v>
      </c>
      <c r="G8" s="5" t="s">
        <v>120</v>
      </c>
    </row>
    <row r="9" customFormat="false" ht="19.5" hidden="false" customHeight="true" outlineLevel="0" collapsed="false">
      <c r="A9" s="6" t="s">
        <v>121</v>
      </c>
      <c r="B9" s="38" t="n">
        <f aca="false">IFERROR(B7/B8,0)</f>
        <v>0.0183098591549296</v>
      </c>
      <c r="C9" s="38" t="n">
        <f aca="false">IFERROR(C7/C8,0)</f>
        <v>0.0312714776632302</v>
      </c>
      <c r="D9" s="38" t="n">
        <f aca="false">IFERROR(D7/D8,0)</f>
        <v>0.0473509933774834</v>
      </c>
      <c r="E9" s="38" t="n">
        <f aca="false">IFERROR(E7/E8,0)</f>
        <v>0.0776729559748428</v>
      </c>
      <c r="F9" s="38" t="n">
        <f aca="false">IFERROR(F7/F8,0)</f>
        <v>0.123809523809524</v>
      </c>
      <c r="G9" s="5" t="s">
        <v>122</v>
      </c>
    </row>
    <row r="10" customFormat="false" ht="19.5" hidden="false" customHeight="true" outlineLevel="0" collapsed="false">
      <c r="A10" s="6" t="s">
        <v>123</v>
      </c>
      <c r="B10" s="39" t="n">
        <v>94</v>
      </c>
      <c r="C10" s="39" t="n">
        <v>91</v>
      </c>
      <c r="D10" s="39" t="n">
        <v>86</v>
      </c>
      <c r="E10" s="39" t="n">
        <v>78</v>
      </c>
      <c r="F10" s="39" t="n">
        <v>66</v>
      </c>
      <c r="G10" s="5" t="s">
        <v>124</v>
      </c>
    </row>
    <row r="11" customFormat="false" ht="19.5" hidden="false" customHeight="true" outlineLevel="0" collapsed="false">
      <c r="A11" s="6" t="s">
        <v>86</v>
      </c>
      <c r="B11" s="40" t="n">
        <v>2.8</v>
      </c>
      <c r="C11" s="40" t="n">
        <v>2.3</v>
      </c>
      <c r="D11" s="40" t="n">
        <v>1.7</v>
      </c>
      <c r="E11" s="40" t="n">
        <v>1.2</v>
      </c>
      <c r="F11" s="40" t="n">
        <v>0.8</v>
      </c>
      <c r="G11" s="5" t="s">
        <v>125</v>
      </c>
    </row>
    <row r="12" customFormat="false" ht="19.5" hidden="false" customHeight="true" outlineLevel="0" collapsed="false">
      <c r="A12" s="6" t="s">
        <v>88</v>
      </c>
      <c r="B12" s="41" t="n">
        <v>71</v>
      </c>
      <c r="C12" s="41" t="n">
        <v>66</v>
      </c>
      <c r="D12" s="41" t="n">
        <v>59</v>
      </c>
      <c r="E12" s="41" t="n">
        <v>52</v>
      </c>
      <c r="F12" s="41" t="n">
        <v>41</v>
      </c>
      <c r="G12" s="5" t="s">
        <v>126</v>
      </c>
    </row>
    <row r="13" customFormat="false" ht="19.5" hidden="false" customHeight="true" outlineLevel="0" collapsed="false">
      <c r="A13" s="6" t="s">
        <v>127</v>
      </c>
      <c r="B13" s="42" t="s">
        <v>128</v>
      </c>
      <c r="C13" s="42" t="s">
        <v>128</v>
      </c>
      <c r="D13" s="43" t="s">
        <v>129</v>
      </c>
      <c r="E13" s="43" t="s">
        <v>129</v>
      </c>
      <c r="F13" s="44" t="s">
        <v>130</v>
      </c>
      <c r="G13" s="5" t="s">
        <v>131</v>
      </c>
    </row>
    <row r="14" customFormat="false" ht="19.5" hidden="false" customHeight="true" outlineLevel="0" collapsed="false">
      <c r="A14" s="6" t="s">
        <v>132</v>
      </c>
      <c r="B14" s="45"/>
      <c r="C14" s="45"/>
      <c r="D14" s="45"/>
      <c r="E14" s="45"/>
      <c r="F14" s="45"/>
      <c r="G14" s="5" t="s">
        <v>133</v>
      </c>
    </row>
    <row r="16" customFormat="false" ht="13.5" hidden="false" customHeight="true" outlineLevel="0" collapsed="false">
      <c r="A16" s="46" t="s">
        <v>134</v>
      </c>
      <c r="B16" s="46" t="s">
        <v>135</v>
      </c>
      <c r="C16" s="46" t="s">
        <v>136</v>
      </c>
      <c r="D16" s="46" t="s">
        <v>137</v>
      </c>
      <c r="E16" s="46" t="s">
        <v>138</v>
      </c>
      <c r="F16" s="46" t="s">
        <v>139</v>
      </c>
      <c r="G16" s="46" t="s">
        <v>140</v>
      </c>
    </row>
    <row r="17" customFormat="false" ht="19.5" hidden="false" customHeight="true" outlineLevel="0" collapsed="false">
      <c r="A17" s="6" t="s">
        <v>115</v>
      </c>
      <c r="B17" s="47" t="n">
        <v>58</v>
      </c>
      <c r="C17" s="47" t="n">
        <v>34</v>
      </c>
      <c r="D17" s="47" t="n">
        <v>19</v>
      </c>
      <c r="E17" s="47" t="n">
        <v>10</v>
      </c>
      <c r="F17" s="47" t="n">
        <v>15</v>
      </c>
      <c r="G17" s="5" t="s">
        <v>116</v>
      </c>
    </row>
    <row r="18" customFormat="false" ht="19.5" hidden="false" customHeight="true" outlineLevel="0" collapsed="false">
      <c r="A18" s="6" t="s">
        <v>117</v>
      </c>
      <c r="B18" s="47" t="n">
        <f aca="false">IFERROR(B17*65,0)</f>
        <v>3770</v>
      </c>
      <c r="C18" s="47" t="n">
        <f aca="false">IFERROR(C17*65,0)</f>
        <v>2210</v>
      </c>
      <c r="D18" s="47" t="n">
        <f aca="false">IFERROR(D17*65,0)</f>
        <v>1235</v>
      </c>
      <c r="E18" s="47" t="n">
        <f aca="false">IFERROR(E17*65,0)</f>
        <v>650</v>
      </c>
      <c r="F18" s="47" t="n">
        <f aca="false">IFERROR(F17*65,0)</f>
        <v>975</v>
      </c>
      <c r="G18" s="5" t="s">
        <v>118</v>
      </c>
    </row>
    <row r="19" customFormat="false" ht="19.5" hidden="false" customHeight="true" outlineLevel="0" collapsed="false">
      <c r="A19" s="6" t="s">
        <v>119</v>
      </c>
      <c r="B19" s="47" t="n">
        <v>34200</v>
      </c>
      <c r="C19" s="47" t="n">
        <v>32800</v>
      </c>
      <c r="D19" s="47" t="n">
        <v>31400</v>
      </c>
      <c r="E19" s="47" t="n">
        <v>29900</v>
      </c>
      <c r="F19" s="47" t="n">
        <v>28600</v>
      </c>
      <c r="G19" s="5" t="s">
        <v>120</v>
      </c>
    </row>
    <row r="20" customFormat="false" ht="19.5" hidden="false" customHeight="true" outlineLevel="0" collapsed="false">
      <c r="A20" s="6" t="s">
        <v>121</v>
      </c>
      <c r="B20" s="48" t="n">
        <f aca="false">IFERROR(B18/B19,0)</f>
        <v>0.110233918128655</v>
      </c>
      <c r="C20" s="48" t="n">
        <f aca="false">IFERROR(C18/C19,0)</f>
        <v>0.0673780487804878</v>
      </c>
      <c r="D20" s="48" t="n">
        <f aca="false">IFERROR(D18/D19,0)</f>
        <v>0.0393312101910828</v>
      </c>
      <c r="E20" s="48" t="n">
        <f aca="false">IFERROR(E18/E19,0)</f>
        <v>0.0217391304347826</v>
      </c>
      <c r="F20" s="48" t="n">
        <f aca="false">IFERROR(F18/F19,0)</f>
        <v>0.0340909090909091</v>
      </c>
      <c r="G20" s="5" t="s">
        <v>122</v>
      </c>
    </row>
    <row r="21" customFormat="false" ht="19.5" hidden="false" customHeight="true" outlineLevel="0" collapsed="false">
      <c r="A21" s="6" t="s">
        <v>123</v>
      </c>
      <c r="B21" s="49" t="n">
        <v>72</v>
      </c>
      <c r="C21" s="49" t="n">
        <v>83</v>
      </c>
      <c r="D21" s="49" t="n">
        <v>91</v>
      </c>
      <c r="E21" s="49" t="n">
        <v>96</v>
      </c>
      <c r="F21" s="49" t="n">
        <v>99</v>
      </c>
      <c r="G21" s="5" t="s">
        <v>124</v>
      </c>
    </row>
    <row r="22" customFormat="false" ht="19.5" hidden="false" customHeight="true" outlineLevel="0" collapsed="false">
      <c r="A22" s="6" t="s">
        <v>86</v>
      </c>
      <c r="B22" s="50" t="n">
        <v>0.9</v>
      </c>
      <c r="C22" s="50" t="n">
        <v>1.4</v>
      </c>
      <c r="D22" s="50" t="n">
        <v>2.1</v>
      </c>
      <c r="E22" s="50" t="n">
        <v>2.9</v>
      </c>
      <c r="F22" s="50" t="n">
        <v>3.1</v>
      </c>
      <c r="G22" s="5" t="s">
        <v>125</v>
      </c>
    </row>
    <row r="23" customFormat="false" ht="19.5" hidden="false" customHeight="true" outlineLevel="0" collapsed="false">
      <c r="A23" s="6" t="s">
        <v>88</v>
      </c>
      <c r="B23" s="51" t="n">
        <v>48</v>
      </c>
      <c r="C23" s="51" t="n">
        <v>58</v>
      </c>
      <c r="D23" s="51" t="n">
        <v>67</v>
      </c>
      <c r="E23" s="51" t="n">
        <v>76</v>
      </c>
      <c r="F23" s="51" t="n">
        <v>84</v>
      </c>
      <c r="G23" s="5" t="s">
        <v>126</v>
      </c>
    </row>
    <row r="24" customFormat="false" ht="19.5" hidden="false" customHeight="true" outlineLevel="0" collapsed="false">
      <c r="A24" s="6" t="s">
        <v>127</v>
      </c>
      <c r="B24" s="44" t="s">
        <v>130</v>
      </c>
      <c r="C24" s="43" t="s">
        <v>129</v>
      </c>
      <c r="D24" s="42" t="s">
        <v>128</v>
      </c>
      <c r="E24" s="42" t="s">
        <v>128</v>
      </c>
      <c r="F24" s="42" t="s">
        <v>141</v>
      </c>
      <c r="G24" s="5" t="s">
        <v>131</v>
      </c>
    </row>
    <row r="25" customFormat="false" ht="19.5" hidden="false" customHeight="true" outlineLevel="0" collapsed="false">
      <c r="A25" s="6" t="s">
        <v>132</v>
      </c>
      <c r="B25" s="45"/>
      <c r="C25" s="45"/>
      <c r="D25" s="45"/>
      <c r="E25" s="45"/>
      <c r="F25" s="45"/>
      <c r="G25" s="5" t="s">
        <v>133</v>
      </c>
    </row>
    <row r="27" customFormat="false" ht="13.5" hidden="false" customHeight="true" outlineLevel="0" collapsed="false">
      <c r="A27" s="31" t="s">
        <v>142</v>
      </c>
      <c r="B27" s="31"/>
      <c r="C27" s="31"/>
      <c r="D27" s="31"/>
      <c r="E27" s="31"/>
      <c r="F27" s="31"/>
      <c r="G27" s="31"/>
    </row>
    <row r="28" customFormat="false" ht="42" hidden="false" customHeight="true" outlineLevel="0" collapsed="false">
      <c r="A28" s="32" t="s">
        <v>143</v>
      </c>
      <c r="B28" s="33" t="s">
        <v>144</v>
      </c>
      <c r="C28" s="33"/>
      <c r="D28" s="33"/>
      <c r="E28" s="33"/>
      <c r="F28" s="33"/>
      <c r="G28" s="33"/>
    </row>
    <row r="29" customFormat="false" ht="42" hidden="false" customHeight="true" outlineLevel="0" collapsed="false">
      <c r="A29" s="32" t="s">
        <v>86</v>
      </c>
      <c r="B29" s="33" t="s">
        <v>145</v>
      </c>
      <c r="C29" s="33"/>
      <c r="D29" s="33"/>
      <c r="E29" s="33"/>
      <c r="F29" s="33"/>
      <c r="G29" s="33"/>
    </row>
    <row r="30" customFormat="false" ht="42" hidden="false" customHeight="true" outlineLevel="0" collapsed="false">
      <c r="A30" s="32" t="s">
        <v>88</v>
      </c>
      <c r="B30" s="33" t="s">
        <v>146</v>
      </c>
      <c r="C30" s="33"/>
      <c r="D30" s="33"/>
      <c r="E30" s="33"/>
      <c r="F30" s="33"/>
      <c r="G30" s="33"/>
    </row>
    <row r="31" customFormat="false" ht="42" hidden="false" customHeight="true" outlineLevel="0" collapsed="false">
      <c r="A31" s="32" t="s">
        <v>147</v>
      </c>
      <c r="B31" s="33" t="s">
        <v>148</v>
      </c>
      <c r="C31" s="33"/>
      <c r="D31" s="33"/>
      <c r="E31" s="33"/>
      <c r="F31" s="33"/>
      <c r="G31" s="33"/>
    </row>
    <row r="32" customFormat="false" ht="42" hidden="false" customHeight="true" outlineLevel="0" collapsed="false">
      <c r="A32" s="32" t="s">
        <v>149</v>
      </c>
      <c r="B32" s="33" t="s">
        <v>150</v>
      </c>
      <c r="C32" s="33"/>
      <c r="D32" s="33"/>
      <c r="E32" s="33"/>
      <c r="F32" s="33"/>
      <c r="G32" s="33"/>
    </row>
    <row r="33" customFormat="false" ht="42" hidden="false" customHeight="true" outlineLevel="0" collapsed="false">
      <c r="A33" s="32" t="s">
        <v>151</v>
      </c>
      <c r="B33" s="33" t="s">
        <v>152</v>
      </c>
      <c r="C33" s="33"/>
      <c r="D33" s="33"/>
      <c r="E33" s="33"/>
      <c r="F33" s="33"/>
      <c r="G33" s="33"/>
    </row>
  </sheetData>
  <mergeCells count="9">
    <mergeCell ref="A1:G1"/>
    <mergeCell ref="A2:G2"/>
    <mergeCell ref="A27:G27"/>
    <mergeCell ref="B28:G28"/>
    <mergeCell ref="B29:G29"/>
    <mergeCell ref="B30:G30"/>
    <mergeCell ref="B31:G31"/>
    <mergeCell ref="B32:G32"/>
    <mergeCell ref="B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4"/>
    <col collapsed="false" customWidth="true" hidden="false" outlineLevel="0" max="7" min="7" style="1" width="22"/>
  </cols>
  <sheetData>
    <row r="1" customFormat="false" ht="27.75" hidden="false" customHeight="true" outlineLevel="0" collapsed="false">
      <c r="A1" s="10" t="s">
        <v>153</v>
      </c>
      <c r="B1" s="10"/>
      <c r="C1" s="10"/>
      <c r="D1" s="10"/>
      <c r="E1" s="10"/>
      <c r="F1" s="10"/>
      <c r="G1" s="10"/>
    </row>
    <row r="2" customFormat="false" ht="39.75" hidden="false" customHeight="true" outlineLevel="0" collapsed="false">
      <c r="A2" s="11" t="s">
        <v>154</v>
      </c>
      <c r="B2" s="11"/>
      <c r="C2" s="11"/>
      <c r="D2" s="11"/>
      <c r="E2" s="11"/>
      <c r="F2" s="11"/>
      <c r="G2" s="11"/>
    </row>
    <row r="3" customFormat="false" ht="21.75" hidden="false" customHeight="true" outlineLevel="0" collapsed="false">
      <c r="A3" s="9" t="s">
        <v>61</v>
      </c>
      <c r="B3" s="52" t="n">
        <f aca="false">Config!B3</f>
        <v>22700</v>
      </c>
      <c r="C3" s="22" t="n">
        <f aca="false">Config!B5</f>
        <v>0.142</v>
      </c>
      <c r="D3" s="52" t="n">
        <f aca="false">Config!B7</f>
        <v>-0.0014</v>
      </c>
      <c r="E3" s="22" t="n">
        <f aca="false">Config!B9</f>
        <v>0</v>
      </c>
      <c r="F3" s="53" t="n">
        <f aca="false">Config!B6</f>
        <v>79408</v>
      </c>
      <c r="G3" s="35" t="str">
        <f aca="false">IF(Config!B6&lt;Config!B14,"LOW – skip",IF(Config!B6&gt;Config!B15,"HIGH – skip","ALLOW"))</f>
        <v>HIGH – skip</v>
      </c>
    </row>
    <row r="4" customFormat="false" ht="19.5" hidden="false" customHeight="true" outlineLevel="0" collapsed="false">
      <c r="A4" s="54" t="s">
        <v>155</v>
      </c>
      <c r="B4" s="54" t="s">
        <v>156</v>
      </c>
      <c r="C4" s="54" t="s">
        <v>157</v>
      </c>
      <c r="D4" s="54" t="s">
        <v>158</v>
      </c>
      <c r="E4" s="54" t="s">
        <v>159</v>
      </c>
      <c r="F4" s="54" t="s">
        <v>160</v>
      </c>
      <c r="G4" s="54" t="s">
        <v>161</v>
      </c>
    </row>
    <row r="5" customFormat="false" ht="15.75" hidden="false" customHeight="true" outlineLevel="0" collapsed="false">
      <c r="A5" s="35" t="n">
        <v>30</v>
      </c>
      <c r="B5" s="55" t="s">
        <v>162</v>
      </c>
      <c r="C5" s="56" t="s">
        <v>163</v>
      </c>
      <c r="D5" s="57" t="s">
        <v>163</v>
      </c>
      <c r="E5" s="56" t="s">
        <v>163</v>
      </c>
      <c r="F5" s="57" t="s">
        <v>163</v>
      </c>
      <c r="G5" s="58" t="s">
        <v>164</v>
      </c>
    </row>
    <row r="6" customFormat="false" ht="15.75" hidden="false" customHeight="true" outlineLevel="0" collapsed="false">
      <c r="A6" s="59" t="n">
        <v>29</v>
      </c>
      <c r="B6" s="55" t="s">
        <v>165</v>
      </c>
      <c r="C6" s="56" t="s">
        <v>163</v>
      </c>
      <c r="D6" s="57" t="s">
        <v>163</v>
      </c>
      <c r="E6" s="56" t="s">
        <v>163</v>
      </c>
      <c r="F6" s="57" t="s">
        <v>163</v>
      </c>
      <c r="G6" s="58" t="s">
        <v>164</v>
      </c>
    </row>
    <row r="7" customFormat="false" ht="15.75" hidden="false" customHeight="true" outlineLevel="0" collapsed="false">
      <c r="A7" s="35" t="n">
        <v>28</v>
      </c>
      <c r="B7" s="55" t="s">
        <v>166</v>
      </c>
      <c r="C7" s="56" t="s">
        <v>163</v>
      </c>
      <c r="D7" s="57" t="s">
        <v>163</v>
      </c>
      <c r="E7" s="56" t="s">
        <v>163</v>
      </c>
      <c r="F7" s="57" t="s">
        <v>163</v>
      </c>
      <c r="G7" s="58" t="s">
        <v>164</v>
      </c>
    </row>
    <row r="8" customFormat="false" ht="15.75" hidden="false" customHeight="true" outlineLevel="0" collapsed="false">
      <c r="A8" s="59" t="n">
        <v>27</v>
      </c>
      <c r="B8" s="55" t="s">
        <v>167</v>
      </c>
      <c r="C8" s="56" t="s">
        <v>163</v>
      </c>
      <c r="D8" s="57" t="s">
        <v>163</v>
      </c>
      <c r="E8" s="56" t="s">
        <v>163</v>
      </c>
      <c r="F8" s="57" t="s">
        <v>163</v>
      </c>
      <c r="G8" s="58" t="s">
        <v>164</v>
      </c>
    </row>
    <row r="9" customFormat="false" ht="15.75" hidden="false" customHeight="true" outlineLevel="0" collapsed="false">
      <c r="A9" s="35" t="n">
        <v>26</v>
      </c>
      <c r="B9" s="55" t="s">
        <v>168</v>
      </c>
      <c r="C9" s="56" t="s">
        <v>163</v>
      </c>
      <c r="D9" s="57" t="s">
        <v>163</v>
      </c>
      <c r="E9" s="56" t="s">
        <v>163</v>
      </c>
      <c r="F9" s="57" t="s">
        <v>163</v>
      </c>
      <c r="G9" s="58" t="s">
        <v>164</v>
      </c>
    </row>
    <row r="10" customFormat="false" ht="15.75" hidden="false" customHeight="true" outlineLevel="0" collapsed="false">
      <c r="A10" s="59" t="n">
        <v>25</v>
      </c>
      <c r="B10" s="55" t="s">
        <v>169</v>
      </c>
      <c r="C10" s="56" t="s">
        <v>163</v>
      </c>
      <c r="D10" s="57" t="s">
        <v>163</v>
      </c>
      <c r="E10" s="56" t="s">
        <v>163</v>
      </c>
      <c r="F10" s="57" t="s">
        <v>163</v>
      </c>
      <c r="G10" s="58" t="s">
        <v>164</v>
      </c>
    </row>
    <row r="11" customFormat="false" ht="15.75" hidden="false" customHeight="true" outlineLevel="0" collapsed="false">
      <c r="A11" s="35" t="n">
        <v>24</v>
      </c>
      <c r="B11" s="55" t="s">
        <v>170</v>
      </c>
      <c r="C11" s="56" t="s">
        <v>163</v>
      </c>
      <c r="D11" s="57" t="s">
        <v>163</v>
      </c>
      <c r="E11" s="56" t="s">
        <v>163</v>
      </c>
      <c r="F11" s="57" t="s">
        <v>163</v>
      </c>
      <c r="G11" s="58" t="s">
        <v>164</v>
      </c>
    </row>
    <row r="12" customFormat="false" ht="15.75" hidden="false" customHeight="true" outlineLevel="0" collapsed="false">
      <c r="A12" s="59" t="n">
        <v>23</v>
      </c>
      <c r="B12" s="55" t="s">
        <v>171</v>
      </c>
      <c r="C12" s="56" t="s">
        <v>163</v>
      </c>
      <c r="D12" s="57" t="s">
        <v>163</v>
      </c>
      <c r="E12" s="56" t="s">
        <v>163</v>
      </c>
      <c r="F12" s="57" t="s">
        <v>163</v>
      </c>
      <c r="G12" s="58" t="s">
        <v>164</v>
      </c>
    </row>
    <row r="13" customFormat="false" ht="15.75" hidden="false" customHeight="true" outlineLevel="0" collapsed="false">
      <c r="A13" s="35" t="n">
        <v>22</v>
      </c>
      <c r="B13" s="55" t="s">
        <v>172</v>
      </c>
      <c r="C13" s="56" t="s">
        <v>163</v>
      </c>
      <c r="D13" s="57" t="s">
        <v>163</v>
      </c>
      <c r="E13" s="56" t="s">
        <v>163</v>
      </c>
      <c r="F13" s="57" t="s">
        <v>163</v>
      </c>
      <c r="G13" s="58" t="s">
        <v>164</v>
      </c>
    </row>
    <row r="14" customFormat="false" ht="15.75" hidden="false" customHeight="true" outlineLevel="0" collapsed="false">
      <c r="A14" s="59" t="n">
        <v>21</v>
      </c>
      <c r="B14" s="55" t="s">
        <v>173</v>
      </c>
      <c r="C14" s="56" t="s">
        <v>163</v>
      </c>
      <c r="D14" s="57" t="s">
        <v>163</v>
      </c>
      <c r="E14" s="56" t="s">
        <v>163</v>
      </c>
      <c r="F14" s="57" t="s">
        <v>163</v>
      </c>
      <c r="G14" s="58" t="s">
        <v>164</v>
      </c>
    </row>
    <row r="15" customFormat="false" ht="15.75" hidden="false" customHeight="true" outlineLevel="0" collapsed="false">
      <c r="A15" s="35" t="n">
        <v>20</v>
      </c>
      <c r="B15" s="55" t="s">
        <v>174</v>
      </c>
      <c r="C15" s="56" t="s">
        <v>163</v>
      </c>
      <c r="D15" s="57" t="s">
        <v>163</v>
      </c>
      <c r="E15" s="56" t="s">
        <v>163</v>
      </c>
      <c r="F15" s="57" t="s">
        <v>163</v>
      </c>
      <c r="G15" s="58" t="s">
        <v>164</v>
      </c>
    </row>
    <row r="16" customFormat="false" ht="15.75" hidden="false" customHeight="true" outlineLevel="0" collapsed="false">
      <c r="A16" s="59" t="n">
        <v>19</v>
      </c>
      <c r="B16" s="55" t="s">
        <v>175</v>
      </c>
      <c r="C16" s="56" t="s">
        <v>163</v>
      </c>
      <c r="D16" s="57" t="s">
        <v>163</v>
      </c>
      <c r="E16" s="56" t="s">
        <v>163</v>
      </c>
      <c r="F16" s="57" t="s">
        <v>163</v>
      </c>
      <c r="G16" s="58" t="s">
        <v>164</v>
      </c>
    </row>
    <row r="17" customFormat="false" ht="15.75" hidden="false" customHeight="true" outlineLevel="0" collapsed="false">
      <c r="A17" s="35" t="n">
        <v>18</v>
      </c>
      <c r="B17" s="55" t="s">
        <v>176</v>
      </c>
      <c r="C17" s="56" t="s">
        <v>163</v>
      </c>
      <c r="D17" s="57" t="s">
        <v>163</v>
      </c>
      <c r="E17" s="56" t="s">
        <v>163</v>
      </c>
      <c r="F17" s="57" t="s">
        <v>163</v>
      </c>
      <c r="G17" s="58" t="s">
        <v>164</v>
      </c>
    </row>
    <row r="18" customFormat="false" ht="15.75" hidden="false" customHeight="true" outlineLevel="0" collapsed="false">
      <c r="A18" s="59" t="n">
        <v>17</v>
      </c>
      <c r="B18" s="55" t="s">
        <v>177</v>
      </c>
      <c r="C18" s="56" t="s">
        <v>163</v>
      </c>
      <c r="D18" s="57" t="s">
        <v>163</v>
      </c>
      <c r="E18" s="56" t="s">
        <v>163</v>
      </c>
      <c r="F18" s="57" t="s">
        <v>163</v>
      </c>
      <c r="G18" s="58" t="s">
        <v>164</v>
      </c>
    </row>
    <row r="19" customFormat="false" ht="15.75" hidden="false" customHeight="true" outlineLevel="0" collapsed="false">
      <c r="A19" s="35" t="n">
        <v>16</v>
      </c>
      <c r="B19" s="55" t="s">
        <v>178</v>
      </c>
      <c r="C19" s="56" t="s">
        <v>163</v>
      </c>
      <c r="D19" s="57" t="s">
        <v>163</v>
      </c>
      <c r="E19" s="56" t="s">
        <v>163</v>
      </c>
      <c r="F19" s="57" t="s">
        <v>163</v>
      </c>
      <c r="G19" s="58" t="s">
        <v>164</v>
      </c>
    </row>
    <row r="20" customFormat="false" ht="15.75" hidden="false" customHeight="true" outlineLevel="0" collapsed="false">
      <c r="A20" s="59" t="n">
        <v>15</v>
      </c>
      <c r="B20" s="55" t="s">
        <v>179</v>
      </c>
      <c r="C20" s="56" t="s">
        <v>163</v>
      </c>
      <c r="D20" s="57" t="s">
        <v>163</v>
      </c>
      <c r="E20" s="56" t="s">
        <v>163</v>
      </c>
      <c r="F20" s="57" t="s">
        <v>163</v>
      </c>
      <c r="G20" s="58" t="s">
        <v>164</v>
      </c>
    </row>
    <row r="21" customFormat="false" ht="15.75" hidden="false" customHeight="true" outlineLevel="0" collapsed="false">
      <c r="A21" s="35" t="n">
        <v>14</v>
      </c>
      <c r="B21" s="55" t="s">
        <v>180</v>
      </c>
      <c r="C21" s="56" t="s">
        <v>163</v>
      </c>
      <c r="D21" s="57" t="s">
        <v>163</v>
      </c>
      <c r="E21" s="56" t="s">
        <v>163</v>
      </c>
      <c r="F21" s="57" t="s">
        <v>163</v>
      </c>
      <c r="G21" s="58" t="s">
        <v>164</v>
      </c>
    </row>
    <row r="22" customFormat="false" ht="15.75" hidden="false" customHeight="true" outlineLevel="0" collapsed="false">
      <c r="A22" s="59" t="n">
        <v>13</v>
      </c>
      <c r="B22" s="55" t="s">
        <v>181</v>
      </c>
      <c r="C22" s="56" t="s">
        <v>163</v>
      </c>
      <c r="D22" s="57" t="s">
        <v>163</v>
      </c>
      <c r="E22" s="56" t="s">
        <v>163</v>
      </c>
      <c r="F22" s="57" t="s">
        <v>163</v>
      </c>
      <c r="G22" s="58" t="s">
        <v>164</v>
      </c>
    </row>
    <row r="23" customFormat="false" ht="15.75" hidden="false" customHeight="true" outlineLevel="0" collapsed="false">
      <c r="A23" s="35" t="n">
        <v>12</v>
      </c>
      <c r="B23" s="55" t="s">
        <v>182</v>
      </c>
      <c r="C23" s="56" t="s">
        <v>163</v>
      </c>
      <c r="D23" s="57" t="s">
        <v>163</v>
      </c>
      <c r="E23" s="56" t="s">
        <v>163</v>
      </c>
      <c r="F23" s="57" t="s">
        <v>163</v>
      </c>
      <c r="G23" s="58" t="s">
        <v>164</v>
      </c>
    </row>
    <row r="24" customFormat="false" ht="15.75" hidden="false" customHeight="true" outlineLevel="0" collapsed="false">
      <c r="A24" s="59" t="n">
        <v>11</v>
      </c>
      <c r="B24" s="55" t="s">
        <v>183</v>
      </c>
      <c r="C24" s="56" t="s">
        <v>163</v>
      </c>
      <c r="D24" s="57" t="s">
        <v>163</v>
      </c>
      <c r="E24" s="56" t="s">
        <v>163</v>
      </c>
      <c r="F24" s="57" t="s">
        <v>163</v>
      </c>
      <c r="G24" s="58" t="s">
        <v>164</v>
      </c>
    </row>
    <row r="25" customFormat="false" ht="15.75" hidden="false" customHeight="true" outlineLevel="0" collapsed="false">
      <c r="A25" s="35" t="n">
        <v>10</v>
      </c>
      <c r="B25" s="55" t="s">
        <v>184</v>
      </c>
      <c r="C25" s="56" t="s">
        <v>163</v>
      </c>
      <c r="D25" s="57" t="s">
        <v>163</v>
      </c>
      <c r="E25" s="56" t="s">
        <v>163</v>
      </c>
      <c r="F25" s="57" t="s">
        <v>163</v>
      </c>
      <c r="G25" s="58" t="s">
        <v>164</v>
      </c>
    </row>
    <row r="26" customFormat="false" ht="15.75" hidden="false" customHeight="true" outlineLevel="0" collapsed="false">
      <c r="A26" s="59" t="n">
        <v>9</v>
      </c>
      <c r="B26" s="55" t="s">
        <v>185</v>
      </c>
      <c r="C26" s="56" t="s">
        <v>163</v>
      </c>
      <c r="D26" s="57" t="s">
        <v>163</v>
      </c>
      <c r="E26" s="56" t="s">
        <v>163</v>
      </c>
      <c r="F26" s="57" t="s">
        <v>163</v>
      </c>
      <c r="G26" s="58" t="s">
        <v>164</v>
      </c>
    </row>
    <row r="27" customFormat="false" ht="15.75" hidden="false" customHeight="true" outlineLevel="0" collapsed="false">
      <c r="A27" s="35" t="n">
        <v>8</v>
      </c>
      <c r="B27" s="55" t="s">
        <v>186</v>
      </c>
      <c r="C27" s="56" t="s">
        <v>163</v>
      </c>
      <c r="D27" s="57" t="s">
        <v>163</v>
      </c>
      <c r="E27" s="56" t="s">
        <v>163</v>
      </c>
      <c r="F27" s="57" t="s">
        <v>163</v>
      </c>
      <c r="G27" s="58" t="s">
        <v>164</v>
      </c>
    </row>
    <row r="28" customFormat="false" ht="15.75" hidden="false" customHeight="true" outlineLevel="0" collapsed="false">
      <c r="A28" s="59" t="n">
        <v>7</v>
      </c>
      <c r="B28" s="55" t="s">
        <v>187</v>
      </c>
      <c r="C28" s="56" t="s">
        <v>163</v>
      </c>
      <c r="D28" s="57" t="s">
        <v>163</v>
      </c>
      <c r="E28" s="56" t="s">
        <v>163</v>
      </c>
      <c r="F28" s="57" t="s">
        <v>163</v>
      </c>
      <c r="G28" s="58" t="s">
        <v>164</v>
      </c>
    </row>
    <row r="29" customFormat="false" ht="15.75" hidden="false" customHeight="true" outlineLevel="0" collapsed="false">
      <c r="A29" s="35" t="n">
        <v>6</v>
      </c>
      <c r="B29" s="55" t="s">
        <v>188</v>
      </c>
      <c r="C29" s="56" t="s">
        <v>163</v>
      </c>
      <c r="D29" s="57" t="s">
        <v>163</v>
      </c>
      <c r="E29" s="56" t="s">
        <v>163</v>
      </c>
      <c r="F29" s="57" t="s">
        <v>163</v>
      </c>
      <c r="G29" s="58" t="s">
        <v>164</v>
      </c>
    </row>
    <row r="30" customFormat="false" ht="15.75" hidden="false" customHeight="true" outlineLevel="0" collapsed="false">
      <c r="A30" s="59" t="n">
        <v>5</v>
      </c>
      <c r="B30" s="55" t="s">
        <v>189</v>
      </c>
      <c r="C30" s="56" t="s">
        <v>163</v>
      </c>
      <c r="D30" s="57" t="s">
        <v>163</v>
      </c>
      <c r="E30" s="56" t="s">
        <v>163</v>
      </c>
      <c r="F30" s="57" t="s">
        <v>163</v>
      </c>
      <c r="G30" s="58" t="s">
        <v>164</v>
      </c>
    </row>
    <row r="31" customFormat="false" ht="15.75" hidden="false" customHeight="true" outlineLevel="0" collapsed="false">
      <c r="A31" s="35" t="n">
        <v>4</v>
      </c>
      <c r="B31" s="55" t="s">
        <v>190</v>
      </c>
      <c r="C31" s="56" t="s">
        <v>163</v>
      </c>
      <c r="D31" s="57" t="s">
        <v>163</v>
      </c>
      <c r="E31" s="56" t="s">
        <v>163</v>
      </c>
      <c r="F31" s="57" t="s">
        <v>163</v>
      </c>
      <c r="G31" s="58" t="s">
        <v>164</v>
      </c>
    </row>
    <row r="32" customFormat="false" ht="15.75" hidden="false" customHeight="true" outlineLevel="0" collapsed="false">
      <c r="A32" s="59" t="n">
        <v>3</v>
      </c>
      <c r="B32" s="55" t="s">
        <v>191</v>
      </c>
      <c r="C32" s="56" t="s">
        <v>163</v>
      </c>
      <c r="D32" s="57" t="s">
        <v>163</v>
      </c>
      <c r="E32" s="56" t="s">
        <v>163</v>
      </c>
      <c r="F32" s="57" t="s">
        <v>163</v>
      </c>
      <c r="G32" s="58" t="s">
        <v>164</v>
      </c>
    </row>
    <row r="33" customFormat="false" ht="15.75" hidden="false" customHeight="true" outlineLevel="0" collapsed="false">
      <c r="A33" s="35" t="n">
        <v>2</v>
      </c>
      <c r="B33" s="55" t="s">
        <v>192</v>
      </c>
      <c r="C33" s="56" t="s">
        <v>163</v>
      </c>
      <c r="D33" s="57" t="s">
        <v>163</v>
      </c>
      <c r="E33" s="56" t="s">
        <v>163</v>
      </c>
      <c r="F33" s="57" t="s">
        <v>163</v>
      </c>
      <c r="G33" s="58" t="s">
        <v>164</v>
      </c>
    </row>
    <row r="34" customFormat="false" ht="15.75" hidden="false" customHeight="true" outlineLevel="0" collapsed="false">
      <c r="A34" s="59" t="n">
        <v>1</v>
      </c>
      <c r="B34" s="55" t="s">
        <v>193</v>
      </c>
      <c r="C34" s="56" t="s">
        <v>163</v>
      </c>
      <c r="D34" s="57" t="s">
        <v>163</v>
      </c>
      <c r="E34" s="56" t="s">
        <v>163</v>
      </c>
      <c r="F34" s="57" t="s">
        <v>163</v>
      </c>
      <c r="G34" s="58" t="s">
        <v>164</v>
      </c>
    </row>
    <row r="36" customFormat="false" ht="36" hidden="false" customHeight="true" outlineLevel="0" collapsed="false">
      <c r="A36" s="60" t="s">
        <v>194</v>
      </c>
      <c r="B36" s="60"/>
      <c r="C36" s="60"/>
      <c r="D36" s="60"/>
      <c r="E36" s="60"/>
      <c r="F36" s="60"/>
      <c r="G36" s="60"/>
    </row>
    <row r="38" customFormat="false" ht="13.5" hidden="false" customHeight="true" outlineLevel="0" collapsed="false">
      <c r="A38" s="31" t="s">
        <v>195</v>
      </c>
      <c r="B38" s="31"/>
      <c r="C38" s="31"/>
      <c r="D38" s="31"/>
      <c r="E38" s="31"/>
      <c r="F38" s="31"/>
      <c r="G38" s="31"/>
    </row>
    <row r="39" customFormat="false" ht="36" hidden="false" customHeight="true" outlineLevel="0" collapsed="false">
      <c r="A39" s="32" t="s">
        <v>196</v>
      </c>
      <c r="B39" s="33" t="s">
        <v>197</v>
      </c>
      <c r="C39" s="33"/>
      <c r="D39" s="33"/>
      <c r="E39" s="33"/>
      <c r="F39" s="33"/>
      <c r="G39" s="33"/>
    </row>
    <row r="40" customFormat="false" ht="36" hidden="false" customHeight="true" outlineLevel="0" collapsed="false">
      <c r="A40" s="32" t="s">
        <v>198</v>
      </c>
      <c r="B40" s="33" t="s">
        <v>199</v>
      </c>
      <c r="C40" s="33"/>
      <c r="D40" s="33"/>
      <c r="E40" s="33"/>
      <c r="F40" s="33"/>
      <c r="G40" s="33"/>
    </row>
    <row r="41" customFormat="false" ht="36" hidden="false" customHeight="true" outlineLevel="0" collapsed="false">
      <c r="A41" s="32" t="s">
        <v>200</v>
      </c>
      <c r="B41" s="33" t="s">
        <v>201</v>
      </c>
      <c r="C41" s="33"/>
      <c r="D41" s="33"/>
      <c r="E41" s="33"/>
      <c r="F41" s="33"/>
      <c r="G41" s="33"/>
    </row>
    <row r="42" customFormat="false" ht="36" hidden="false" customHeight="true" outlineLevel="0" collapsed="false">
      <c r="A42" s="32" t="s">
        <v>202</v>
      </c>
      <c r="B42" s="33" t="s">
        <v>203</v>
      </c>
      <c r="C42" s="33"/>
      <c r="D42" s="33"/>
      <c r="E42" s="33"/>
      <c r="F42" s="33"/>
      <c r="G42" s="33"/>
    </row>
    <row r="43" customFormat="false" ht="36" hidden="false" customHeight="true" outlineLevel="0" collapsed="false">
      <c r="A43" s="32" t="s">
        <v>204</v>
      </c>
      <c r="B43" s="33" t="s">
        <v>205</v>
      </c>
      <c r="C43" s="33"/>
      <c r="D43" s="33"/>
      <c r="E43" s="33"/>
      <c r="F43" s="33"/>
      <c r="G43" s="33"/>
    </row>
    <row r="44" customFormat="false" ht="36" hidden="false" customHeight="true" outlineLevel="0" collapsed="false">
      <c r="A44" s="32" t="s">
        <v>206</v>
      </c>
      <c r="B44" s="33" t="s">
        <v>207</v>
      </c>
      <c r="C44" s="33"/>
      <c r="D44" s="33"/>
      <c r="E44" s="33"/>
      <c r="F44" s="33"/>
      <c r="G44" s="33"/>
    </row>
  </sheetData>
  <mergeCells count="10">
    <mergeCell ref="A1:G1"/>
    <mergeCell ref="A2:G2"/>
    <mergeCell ref="A36:G36"/>
    <mergeCell ref="A38:G38"/>
    <mergeCell ref="B39:G39"/>
    <mergeCell ref="B40:G40"/>
    <mergeCell ref="B41:G41"/>
    <mergeCell ref="B42:G42"/>
    <mergeCell ref="B43:G43"/>
    <mergeCell ref="B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2026-04-03T16:03:19Z</dcterms:created>
  <dc:creator>openpyxl</dc:creator>
  <dc:description/>
  <dc:language>en-US</dc:language>
  <cp:lastModifiedBy/>
  <dcterms:modified xsi:type="dcterms:W3CDTF">2026-04-03T16:04:29Z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