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ool" sheetId="1" state="visible" r:id="rId1"/>
    <sheet xmlns:r="http://schemas.openxmlformats.org/officeDocument/2006/relationships" name="LUT" sheetId="2" state="visible" r:id="rId2"/>
    <sheet xmlns:r="http://schemas.openxmlformats.org/officeDocument/2006/relationships" name="LUT_GAM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444441"/>
      <sz val="9"/>
    </font>
    <font>
      <name val="Arial"/>
      <b val="1"/>
      <color rgb="FFFFFFFF"/>
      <sz val="10"/>
    </font>
    <font>
      <name val="Arial"/>
      <color rgb="FF444441"/>
      <sz val="10"/>
    </font>
    <font>
      <name val="Arial"/>
      <b val="1"/>
      <color rgb="FF0000FF"/>
      <sz val="11"/>
    </font>
    <font>
      <name val="Arial"/>
      <b val="1"/>
      <color rgb="FFFFFFFF"/>
      <sz val="9"/>
    </font>
    <font>
      <name val="Arial"/>
      <b val="1"/>
      <color rgb="FF444441"/>
      <sz val="11"/>
    </font>
    <font>
      <name val="Arial"/>
      <b val="1"/>
      <color rgb="FF444441"/>
      <sz val="12"/>
    </font>
    <font>
      <name val="Arial"/>
      <color rgb="FF854F0B"/>
      <sz val="9"/>
    </font>
    <font>
      <name val="Arial"/>
      <color rgb="FFA32D2D"/>
      <sz val="10"/>
    </font>
    <font>
      <name val="Arial"/>
      <b val="1"/>
      <color rgb="FFA32D2D"/>
      <sz val="11"/>
    </font>
    <font>
      <name val="Arial"/>
      <color rgb="FFA32D2D"/>
      <sz val="9"/>
    </font>
    <font>
      <name val="Arial"/>
      <b val="1"/>
      <color rgb="FF3B6D11"/>
      <sz val="9"/>
    </font>
    <font>
      <name val="Arial"/>
      <color rgb="FF3B6D11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color rgb="FF444441"/>
      <sz val="8"/>
    </font>
    <font>
      <name val="Arial"/>
      <color rgb="FF0000FF"/>
      <sz val="9"/>
    </font>
  </fonts>
  <fills count="10">
    <fill>
      <patternFill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5F4F0"/>
        <bgColor rgb="FFF5F4F0"/>
      </patternFill>
    </fill>
    <fill>
      <patternFill patternType="solid">
        <fgColor rgb="FF0F6E56"/>
        <bgColor rgb="FF0F6E56"/>
      </patternFill>
    </fill>
    <fill>
      <patternFill patternType="solid">
        <fgColor rgb="FFFFFFFF"/>
        <bgColor rgb="FFFFFFFF"/>
      </patternFill>
    </fill>
    <fill>
      <patternFill patternType="solid">
        <fgColor rgb="FFFAEEDA"/>
        <bgColor rgb="FFFAEEDA"/>
      </patternFill>
    </fill>
    <fill>
      <patternFill patternType="solid">
        <fgColor rgb="FF791F1F"/>
        <bgColor rgb="FF791F1F"/>
      </patternFill>
    </fill>
    <fill>
      <patternFill patternType="solid">
        <fgColor rgb="FFFCEBEB"/>
        <bgColor rgb="FFFCEBEB"/>
      </patternFill>
    </fill>
    <fill>
      <patternFill patternType="solid">
        <fgColor rgb="FFEAF3DE"/>
        <bgColor rgb="FFEAF3DE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 style="medium">
        <color rgb="FF444441"/>
      </left>
      <right style="medium">
        <color rgb="FF444441"/>
      </right>
      <top style="medium">
        <color rgb="FF444441"/>
      </top>
      <bottom style="medium">
        <color rgb="FF44444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4" customWidth="1" min="4" max="4"/>
    <col width="28" customWidth="1" min="5" max="5"/>
    <col width="22" customWidth="1" min="6" max="6"/>
    <col width="3" customWidth="1" min="7" max="7"/>
  </cols>
  <sheetData>
    <row r="1" ht="20" customHeight="1"/>
    <row r="2" ht="28" customHeight="1">
      <c r="B2" s="1" t="inlineStr">
        <is>
          <t>NIFTY OPTIONS — STRATEGY DECISION TOOL</t>
        </is>
      </c>
    </row>
    <row r="3" ht="20" customHeight="1">
      <c r="B3" s="2" t="inlineStr">
        <is>
          <t>Select 3 inputs → Strategy, Delta target and Theta check auto-populate</t>
        </is>
      </c>
    </row>
    <row r="4" ht="20" customHeight="1"/>
    <row r="5" ht="20" customHeight="1">
      <c r="B5" s="3" t="inlineStr">
        <is>
          <t>STEP 1 — YOUR 3 INPUTS</t>
        </is>
      </c>
      <c r="E5" s="3" t="inlineStr">
        <is>
          <t>QUICK REFERENCE</t>
        </is>
      </c>
    </row>
    <row r="6" ht="20" customHeight="1">
      <c r="B6" s="4" t="inlineStr">
        <is>
          <t>DTE  (days to expiry)</t>
        </is>
      </c>
      <c r="C6" s="5" t="inlineStr">
        <is>
          <t>T-4</t>
        </is>
      </c>
      <c r="E6" s="6" t="inlineStr">
        <is>
          <t>Delta of short leg</t>
        </is>
      </c>
      <c r="F6" s="7" t="inlineStr">
        <is>
          <t>→ approx strike distance from spot</t>
        </is>
      </c>
    </row>
    <row r="7" ht="20" customHeight="1">
      <c r="B7" s="4" t="inlineStr">
        <is>
          <t>Nifty IV  (from exchange)</t>
        </is>
      </c>
      <c r="C7" s="5" t="inlineStr">
        <is>
          <t>&lt;13%</t>
        </is>
      </c>
      <c r="E7" s="8" t="inlineStr">
        <is>
          <t>δ 0.30</t>
        </is>
      </c>
      <c r="F7" s="9" t="inlineStr">
        <is>
          <t>~1.0–1.5% away  (closest, most premium)</t>
        </is>
      </c>
    </row>
    <row r="8" ht="20" customHeight="1">
      <c r="B8" s="4" t="inlineStr">
        <is>
          <t>Market trend  (your call)</t>
        </is>
      </c>
      <c r="C8" s="5" t="inlineStr">
        <is>
          <t>NEUTRAL</t>
        </is>
      </c>
      <c r="E8" s="2" t="inlineStr">
        <is>
          <t>δ 0.20</t>
        </is>
      </c>
      <c r="F8" s="10" t="inlineStr">
        <is>
          <t>~1.5–2.0% away</t>
        </is>
      </c>
    </row>
    <row r="9" ht="20" customHeight="1">
      <c r="E9" s="8" t="inlineStr">
        <is>
          <t>δ 0.15</t>
        </is>
      </c>
      <c r="F9" s="9" t="inlineStr">
        <is>
          <t>~2.0–2.5% away</t>
        </is>
      </c>
    </row>
    <row r="10" ht="20" customHeight="1">
      <c r="B10" s="11" t="inlineStr">
        <is>
          <t>STEP 2 — OPTIMAL STRATEGY</t>
        </is>
      </c>
      <c r="E10" s="2" t="inlineStr">
        <is>
          <t>δ 0.10</t>
        </is>
      </c>
      <c r="F10" s="10" t="inlineStr">
        <is>
          <t>~2.5–3.0% away</t>
        </is>
      </c>
    </row>
    <row r="11" ht="20" customHeight="1">
      <c r="B11" s="4" t="inlineStr">
        <is>
          <t>Strategy</t>
        </is>
      </c>
      <c r="C11" s="12">
        <f>IFERROR(VLOOKUP(C6&amp;"|"&amp;C7&amp;"|"&amp;C8,LUT!$A:$I,2,0),"—")</f>
        <v/>
      </c>
      <c r="E11" s="8" t="inlineStr">
        <is>
          <t>δ 0.07</t>
        </is>
      </c>
      <c r="F11" s="9" t="inlineStr">
        <is>
          <t>~3.0–3.5% away  (furthest, safest)</t>
        </is>
      </c>
    </row>
    <row r="12" ht="20" customHeight="1">
      <c r="B12" s="4" t="inlineStr">
        <is>
          <t>Win rate</t>
        </is>
      </c>
      <c r="C12" s="12">
        <f>IFERROR(TEXT(VLOOKUP(C6&amp;"|"&amp;C7&amp;"|"&amp;C8,LUT!$A:$I,3,0),"0.0%"),"—")</f>
        <v/>
      </c>
    </row>
    <row r="13" ht="20" customHeight="1">
      <c r="B13" s="4" t="inlineStr">
        <is>
          <t>Avg P&amp;L per trade ₹</t>
        </is>
      </c>
      <c r="C13" s="12">
        <f>IFERROR(TEXT(VLOOKUP(C6&amp;"|"&amp;C7&amp;"|"&amp;C8,LUT!$A:$I,4,0),"₹#,##0;(₹#,##0)"),"—")</f>
        <v/>
      </c>
      <c r="E13" s="3" t="inlineStr">
        <is>
          <t>THETA MINIMUMS BY DTE</t>
        </is>
      </c>
    </row>
    <row r="14" ht="20" customHeight="1">
      <c r="B14" s="4" t="inlineStr">
        <is>
          <t>Signal</t>
        </is>
      </c>
      <c r="C14" s="12">
        <f>IFERROR(IF(VALUE(VLOOKUP(C6&amp;"|"&amp;C7&amp;"|"&amp;C8,LUT!$A:$I,3,0))&gt;=0.85,"ENTER",IF(VALUE(VLOOKUP(C6&amp;"|"&amp;C7&amp;"|"&amp;C8,LUT!$A:$I,3,0))&gt;=0.65,"MONITOR","AVOID")),"—")</f>
        <v/>
      </c>
      <c r="E14" s="13" t="inlineStr">
        <is>
          <t>T-4</t>
        </is>
      </c>
      <c r="F14" s="14" t="inlineStr">
        <is>
          <t>≥ 12 pts/day</t>
        </is>
      </c>
    </row>
    <row r="15" ht="20" customHeight="1">
      <c r="E15" s="13" t="inlineStr">
        <is>
          <t>T-3</t>
        </is>
      </c>
      <c r="F15" s="14" t="inlineStr">
        <is>
          <t>≥ 17 pts/day</t>
        </is>
      </c>
    </row>
    <row r="16" ht="22" customHeight="1">
      <c r="B16" s="11" t="inlineStr">
        <is>
          <t>STEP 3 — TARGET DELTA  (scan chain for this delta → that strike is your entry)</t>
        </is>
      </c>
      <c r="E16" s="15" t="inlineStr">
        <is>
          <t>T-2</t>
        </is>
      </c>
      <c r="F16" s="16" t="inlineStr">
        <is>
          <t>≥ 22 pts/day</t>
        </is>
      </c>
    </row>
    <row r="17" ht="20" customHeight="1">
      <c r="B17" s="4" t="inlineStr">
        <is>
          <t>Short leg delta — CE side</t>
        </is>
      </c>
      <c r="C17" s="17">
        <f>IFERROR(VLOOKUP(C6&amp;"|"&amp;C7&amp;"|"&amp;C8,LUT!$A:$I,5,0),"—")</f>
        <v/>
      </c>
      <c r="E17" s="18" t="inlineStr">
        <is>
          <t>T-1</t>
        </is>
      </c>
      <c r="F17" s="19" t="inlineStr">
        <is>
          <t>≥ 22 pts/day  (IC only)</t>
        </is>
      </c>
    </row>
    <row r="18" ht="22" customHeight="1">
      <c r="B18" s="4" t="inlineStr">
        <is>
          <t>Short leg delta — PE side</t>
        </is>
      </c>
      <c r="C18" s="17">
        <f>IFERROR(VLOOKUP(C6&amp;"|"&amp;C7&amp;"|"&amp;C8,LUT!$A:$I,6,0),"—")</f>
        <v/>
      </c>
      <c r="E18" s="20" t="inlineStr">
        <is>
          <t>T-1 STRADDLE: 0% win rate (77 trades). Iron Condor ONLY on T-1.</t>
        </is>
      </c>
    </row>
    <row r="19" ht="22" customHeight="1">
      <c r="B19" s="21" t="inlineStr">
        <is>
          <t>Open your broker option chain → find the strike where delta matches the value above → that is your entry strike.</t>
        </is>
      </c>
    </row>
    <row r="20" ht="20" customHeight="1">
      <c r="E20" s="21" t="inlineStr">
        <is>
          <t>IV &gt; 22%: Never use debit (long option) strategies. Long vega is destroyed by IV mean-reversion. Credit strategies only.</t>
        </is>
      </c>
    </row>
    <row r="21" ht="20" customHeight="1">
      <c r="B21" s="11" t="inlineStr">
        <is>
          <t>STEP 4 — THETA CHECK  (verify premium is worth the trade before placing)</t>
        </is>
      </c>
    </row>
    <row r="22" ht="20" customHeight="1">
      <c r="B22" s="4" t="inlineStr">
        <is>
          <t>Minimum theta required (pts/day)</t>
        </is>
      </c>
      <c r="C22" s="12">
        <f>IFERROR(VLOOKUP(C6&amp;"|"&amp;C7&amp;"|"&amp;C8,LUT!$A:$I,7,0),"—")</f>
        <v/>
      </c>
    </row>
    <row r="23" ht="20" customHeight="1">
      <c r="B23" s="4" t="inlineStr">
        <is>
          <t>Theta / capital % per day</t>
        </is>
      </c>
      <c r="C23" s="12">
        <f>IFERROR(TEXT(VLOOKUP(C6&amp;"|"&amp;C7&amp;"|"&amp;C8,LUT!$A:$I,8,0)/100,"0.00%"),"—")</f>
        <v/>
      </c>
      <c r="E23" s="21" t="inlineStr">
        <is>
          <t>BEARISH + T-4/T-3 + 13-15% IV: Low win rate bucket. If Signal says AVOID, trust it — skip the trade regardless of conviction.</t>
        </is>
      </c>
    </row>
    <row r="24" ht="20" customHeight="1">
      <c r="B24" s="21" t="inlineStr">
        <is>
          <t>How to check: sum (theta × 65) for all short legs from your broker chain. If below the minimum above, skip the trade — premium is too thin.</t>
        </is>
      </c>
    </row>
    <row r="25" ht="20" customHeight="1"/>
    <row r="26" ht="20" customHeight="1">
      <c r="B26" s="22" t="inlineStr">
        <is>
          <t>RISK LIMIT — MAX PORTFOLIO GAMMA</t>
        </is>
      </c>
    </row>
    <row r="27" ht="20" customHeight="1">
      <c r="B27" s="23" t="inlineStr">
        <is>
          <t>Max gamma allowed at this DTE</t>
        </is>
      </c>
      <c r="C27" s="24">
        <f>IFERROR(VLOOKUP(C6,LUT_GAMMA!$A:$C,2,0),"—")</f>
        <v/>
      </c>
    </row>
    <row r="28" ht="24" customHeight="1">
      <c r="B28" s="23" t="inlineStr">
        <is>
          <t>Exit rule</t>
        </is>
      </c>
      <c r="C28" s="25">
        <f>IFERROR(VLOOKUP(C6,LUT_GAMMA!$A:$C,3,0),"—")</f>
        <v/>
      </c>
    </row>
    <row r="29" ht="20" customHeight="1"/>
    <row r="30" ht="20" customHeight="1">
      <c r="B30" s="26" t="inlineStr">
        <is>
          <t>Source: 1,840 trades | Nifty 50 | Oct 2024 – Mar 2026 | Lot 65 | Capital ₹1,20,000 | Exit T-close 15:00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21">
    <mergeCell ref="B16:C16"/>
    <mergeCell ref="B3:F3"/>
    <mergeCell ref="E7"/>
    <mergeCell ref="E5:F5"/>
    <mergeCell ref="B21:C21"/>
    <mergeCell ref="B2:F2"/>
    <mergeCell ref="E20:F22"/>
    <mergeCell ref="E23:F25"/>
    <mergeCell ref="E13:F13"/>
    <mergeCell ref="E18:F19"/>
    <mergeCell ref="E8"/>
    <mergeCell ref="B19:C19"/>
    <mergeCell ref="B10:C10"/>
    <mergeCell ref="E10"/>
    <mergeCell ref="B30:F30"/>
    <mergeCell ref="E9"/>
    <mergeCell ref="B24:C24"/>
    <mergeCell ref="B5:C5"/>
    <mergeCell ref="E6"/>
    <mergeCell ref="E11"/>
    <mergeCell ref="B26:C26"/>
  </mergeCells>
  <dataValidations count="3">
    <dataValidation sqref="C6" showDropDown="0" showInputMessage="0" showErrorMessage="0" allowBlank="0" type="list">
      <formula1>"T-4,T-3,T-2,T-1"</formula1>
    </dataValidation>
    <dataValidation sqref="C7" showDropDown="0" showInputMessage="0" showErrorMessage="0" allowBlank="0" type="list">
      <formula1>"&lt;13%,13-15%,15-18%,18-22%,&gt;22%"</formula1>
    </dataValidation>
    <dataValidation sqref="C8" showDropDown="0" showInputMessage="0" showErrorMessage="0" allowBlank="0" type="list">
      <formula1>"NEUTRAL,BULLISH,BEARISH"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16" customWidth="1" min="7" max="7"/>
    <col width="12" customWidth="1" min="8" max="8"/>
    <col width="12" customWidth="1" min="9" max="9"/>
  </cols>
  <sheetData>
    <row r="1">
      <c r="A1" s="6" t="inlineStr">
        <is>
          <t>Key</t>
        </is>
      </c>
      <c r="B1" s="6" t="inlineStr">
        <is>
          <t>Strategy</t>
        </is>
      </c>
      <c r="C1" s="6" t="inlineStr">
        <is>
          <t>Win Rate</t>
        </is>
      </c>
      <c r="D1" s="6" t="inlineStr">
        <is>
          <t>Avg P&amp;L ₹</t>
        </is>
      </c>
      <c r="E1" s="6" t="inlineStr">
        <is>
          <t>Delta CE</t>
        </is>
      </c>
      <c r="F1" s="6" t="inlineStr">
        <is>
          <t>Delta PE</t>
        </is>
      </c>
      <c r="G1" s="6" t="inlineStr">
        <is>
          <t>Min Theta pts</t>
        </is>
      </c>
      <c r="H1" s="6" t="inlineStr">
        <is>
          <t>Theta/Cap%</t>
        </is>
      </c>
      <c r="I1" s="6" t="inlineStr">
        <is>
          <t>Max Loss ₹</t>
        </is>
      </c>
    </row>
    <row r="2">
      <c r="A2" s="27" t="inlineStr">
        <is>
          <t>T-4|&lt;13%|NEUTRAL</t>
        </is>
      </c>
      <c r="B2" s="2" t="inlineStr">
        <is>
          <t>S3 Iron Condor</t>
        </is>
      </c>
      <c r="C2" s="28" t="n">
        <v>0.976</v>
      </c>
      <c r="D2" s="2" t="n">
        <v>507</v>
      </c>
      <c r="E2" s="2" t="n">
        <v>0.07000000000000001</v>
      </c>
      <c r="F2" s="2" t="n">
        <v>-0.07000000000000001</v>
      </c>
      <c r="G2" s="2" t="n">
        <v>12</v>
      </c>
      <c r="H2" s="2" t="n">
        <v>0.76</v>
      </c>
      <c r="I2" s="2" t="n">
        <v>-5468</v>
      </c>
    </row>
    <row r="3">
      <c r="A3" s="29" t="inlineStr">
        <is>
          <t>T-4|&lt;13%|BULLISH</t>
        </is>
      </c>
      <c r="B3" s="8" t="inlineStr">
        <is>
          <t>S5 Bear Call Spread</t>
        </is>
      </c>
      <c r="C3" s="28" t="n">
        <v>0.884</v>
      </c>
      <c r="D3" s="8" t="n">
        <v>1125</v>
      </c>
      <c r="E3" s="8" t="n">
        <v>0.3</v>
      </c>
      <c r="F3" s="8" t="inlineStr">
        <is>
          <t>—</t>
        </is>
      </c>
      <c r="G3" s="8" t="n">
        <v>20</v>
      </c>
      <c r="H3" s="8" t="n">
        <v>1.47</v>
      </c>
      <c r="I3" s="8" t="n">
        <v>-7387</v>
      </c>
    </row>
    <row r="4">
      <c r="A4" s="27" t="inlineStr">
        <is>
          <t>T-4|&lt;13%|BEARISH</t>
        </is>
      </c>
      <c r="B4" s="2" t="inlineStr">
        <is>
          <t>S4 Bull Put Spread</t>
        </is>
      </c>
      <c r="C4" s="28" t="n">
        <v>0.884</v>
      </c>
      <c r="D4" s="2" t="n">
        <v>1125</v>
      </c>
      <c r="E4" s="2" t="inlineStr">
        <is>
          <t>—</t>
        </is>
      </c>
      <c r="F4" s="2" t="n">
        <v>-0.3</v>
      </c>
      <c r="G4" s="2" t="n">
        <v>20</v>
      </c>
      <c r="H4" s="2" t="n">
        <v>1.35</v>
      </c>
      <c r="I4" s="2" t="n">
        <v>-7387</v>
      </c>
    </row>
    <row r="5">
      <c r="A5" s="29" t="inlineStr">
        <is>
          <t>T-4|13-15%|NEUTRAL</t>
        </is>
      </c>
      <c r="B5" s="8" t="inlineStr">
        <is>
          <t>S2 Wide Strangle</t>
        </is>
      </c>
      <c r="C5" s="28" t="n">
        <v>0.8129999999999999</v>
      </c>
      <c r="D5" s="8" t="n">
        <v>698</v>
      </c>
      <c r="E5" s="8" t="n">
        <v>0.13</v>
      </c>
      <c r="F5" s="8" t="n">
        <v>-0.13</v>
      </c>
      <c r="G5" s="8" t="n">
        <v>20</v>
      </c>
      <c r="H5" s="8" t="n">
        <v>1.06</v>
      </c>
      <c r="I5" s="8" t="n">
        <v>-33072</v>
      </c>
    </row>
    <row r="6">
      <c r="A6" s="27" t="inlineStr">
        <is>
          <t>T-4|13-15%|BULLISH</t>
        </is>
      </c>
      <c r="B6" s="2" t="inlineStr">
        <is>
          <t>S4 Bull Put Spread</t>
        </is>
      </c>
      <c r="C6" s="30" t="n">
        <v>0.727</v>
      </c>
      <c r="D6" s="2" t="n">
        <v>-522</v>
      </c>
      <c r="E6" s="2" t="inlineStr">
        <is>
          <t>—</t>
        </is>
      </c>
      <c r="F6" s="2" t="n">
        <v>-0.3</v>
      </c>
      <c r="G6" s="2" t="n">
        <v>30</v>
      </c>
      <c r="H6" s="2" t="n">
        <v>1.35</v>
      </c>
      <c r="I6" s="2" t="n">
        <v>-10680</v>
      </c>
    </row>
    <row r="7">
      <c r="A7" s="29" t="inlineStr">
        <is>
          <t>T-4|13-15%|BEARISH</t>
        </is>
      </c>
      <c r="B7" s="8" t="inlineStr">
        <is>
          <t>S5 Bear Call Spread</t>
        </is>
      </c>
      <c r="C7" s="31" t="n">
        <v>0.545</v>
      </c>
      <c r="D7" s="8" t="n">
        <v>-1465</v>
      </c>
      <c r="E7" s="8" t="n">
        <v>0.29</v>
      </c>
      <c r="F7" s="8" t="inlineStr">
        <is>
          <t>—</t>
        </is>
      </c>
      <c r="G7" s="8" t="n">
        <v>30</v>
      </c>
      <c r="H7" s="8" t="n">
        <v>1.47</v>
      </c>
      <c r="I7" s="8" t="n">
        <v>-7667</v>
      </c>
    </row>
    <row r="8">
      <c r="A8" s="27" t="inlineStr">
        <is>
          <t>T-4|15-18%|NEUTRAL</t>
        </is>
      </c>
      <c r="B8" s="2" t="inlineStr">
        <is>
          <t>S1 Short Strangle</t>
        </is>
      </c>
      <c r="C8" s="28" t="n">
        <v>0.833</v>
      </c>
      <c r="D8" s="2" t="n">
        <v>1107</v>
      </c>
      <c r="E8" s="2" t="n">
        <v>0.17</v>
      </c>
      <c r="F8" s="2" t="n">
        <v>-0.17</v>
      </c>
      <c r="G8" s="2" t="n">
        <v>31</v>
      </c>
      <c r="H8" s="2" t="n">
        <v>1.27</v>
      </c>
      <c r="I8" s="2" t="n">
        <v>-18093</v>
      </c>
    </row>
    <row r="9">
      <c r="A9" s="29" t="inlineStr">
        <is>
          <t>T-4|15-18%|BULLISH</t>
        </is>
      </c>
      <c r="B9" s="8" t="inlineStr">
        <is>
          <t>S2 Wide Strangle</t>
        </is>
      </c>
      <c r="C9" s="28" t="n">
        <v>0.833</v>
      </c>
      <c r="D9" s="8" t="n">
        <v>969</v>
      </c>
      <c r="E9" s="8" t="n">
        <v>0.13</v>
      </c>
      <c r="F9" s="8" t="n">
        <v>-0.13</v>
      </c>
      <c r="G9" s="8" t="n">
        <v>26</v>
      </c>
      <c r="H9" s="8" t="n">
        <v>1.06</v>
      </c>
      <c r="I9" s="8" t="n">
        <v>-13030</v>
      </c>
    </row>
    <row r="10">
      <c r="A10" s="27" t="inlineStr">
        <is>
          <t>T-4|15-18%|BEARISH</t>
        </is>
      </c>
      <c r="B10" s="2" t="inlineStr">
        <is>
          <t>S2 Wide Strangle</t>
        </is>
      </c>
      <c r="C10" s="30" t="n">
        <v>0.667</v>
      </c>
      <c r="D10" s="2" t="n">
        <v>-500</v>
      </c>
      <c r="E10" s="2" t="n">
        <v>0.13</v>
      </c>
      <c r="F10" s="2" t="n">
        <v>-0.13</v>
      </c>
      <c r="G10" s="2" t="n">
        <v>26</v>
      </c>
      <c r="H10" s="2" t="n">
        <v>1.06</v>
      </c>
      <c r="I10" s="2" t="n">
        <v>-10000</v>
      </c>
    </row>
    <row r="11">
      <c r="A11" s="29" t="inlineStr">
        <is>
          <t>T-4|18-22%|NEUTRAL</t>
        </is>
      </c>
      <c r="B11" s="8" t="inlineStr">
        <is>
          <t>S2 Wide Strangle</t>
        </is>
      </c>
      <c r="C11" s="30" t="n">
        <v>0.75</v>
      </c>
      <c r="D11" s="8" t="n">
        <v>500</v>
      </c>
      <c r="E11" s="8" t="n">
        <v>0.13</v>
      </c>
      <c r="F11" s="8" t="n">
        <v>-0.13</v>
      </c>
      <c r="G11" s="8" t="n">
        <v>22</v>
      </c>
      <c r="H11" s="8" t="n">
        <v>1.06</v>
      </c>
      <c r="I11" s="8" t="n">
        <v>-10000</v>
      </c>
    </row>
    <row r="12">
      <c r="A12" s="27" t="inlineStr">
        <is>
          <t>T-4|18-22%|BULLISH</t>
        </is>
      </c>
      <c r="B12" s="2" t="inlineStr">
        <is>
          <t>S4 Bull Put Spread</t>
        </is>
      </c>
      <c r="C12" s="28" t="n">
        <v>0.8</v>
      </c>
      <c r="D12" s="2" t="n">
        <v>1000</v>
      </c>
      <c r="E12" s="2" t="inlineStr">
        <is>
          <t>—</t>
        </is>
      </c>
      <c r="F12" s="2" t="n">
        <v>-0.3</v>
      </c>
      <c r="G12" s="2" t="n">
        <v>30</v>
      </c>
      <c r="H12" s="2" t="n">
        <v>1.35</v>
      </c>
      <c r="I12" s="2" t="n">
        <v>-8000</v>
      </c>
    </row>
    <row r="13">
      <c r="A13" s="29" t="inlineStr">
        <is>
          <t>T-4|18-22%|BEARISH</t>
        </is>
      </c>
      <c r="B13" s="8" t="inlineStr">
        <is>
          <t>S5 Bear Call Spread</t>
        </is>
      </c>
      <c r="C13" s="30" t="n">
        <v>0.75</v>
      </c>
      <c r="D13" s="8" t="n">
        <v>800</v>
      </c>
      <c r="E13" s="8" t="n">
        <v>0.3</v>
      </c>
      <c r="F13" s="8" t="inlineStr">
        <is>
          <t>—</t>
        </is>
      </c>
      <c r="G13" s="8" t="n">
        <v>28</v>
      </c>
      <c r="H13" s="8" t="n">
        <v>1.47</v>
      </c>
      <c r="I13" s="8" t="n">
        <v>-9000</v>
      </c>
    </row>
    <row r="14">
      <c r="A14" s="27" t="inlineStr">
        <is>
          <t>T-4|&gt;22%|NEUTRAL</t>
        </is>
      </c>
      <c r="B14" s="2" t="inlineStr">
        <is>
          <t>S1 Short Strangle</t>
        </is>
      </c>
      <c r="C14" s="28" t="n">
        <v>1</v>
      </c>
      <c r="D14" s="2" t="n">
        <v>6710</v>
      </c>
      <c r="E14" s="2" t="n">
        <v>0.17</v>
      </c>
      <c r="F14" s="2" t="n">
        <v>-0.17</v>
      </c>
      <c r="G14" s="2" t="n">
        <v>41</v>
      </c>
      <c r="H14" s="2" t="n">
        <v>1.27</v>
      </c>
      <c r="I14" s="2" t="n">
        <v>0</v>
      </c>
    </row>
    <row r="15">
      <c r="A15" s="29" t="inlineStr">
        <is>
          <t>T-4|&gt;22%|BULLISH</t>
        </is>
      </c>
      <c r="B15" s="8" t="inlineStr">
        <is>
          <t>S4 Bull Put Spread</t>
        </is>
      </c>
      <c r="C15" s="28" t="n">
        <v>1</v>
      </c>
      <c r="D15" s="8" t="n">
        <v>4048</v>
      </c>
      <c r="E15" s="8" t="inlineStr">
        <is>
          <t>—</t>
        </is>
      </c>
      <c r="F15" s="8" t="n">
        <v>-0.3</v>
      </c>
      <c r="G15" s="8" t="n">
        <v>46</v>
      </c>
      <c r="H15" s="8" t="n">
        <v>1.35</v>
      </c>
      <c r="I15" s="8" t="n">
        <v>0</v>
      </c>
    </row>
    <row r="16">
      <c r="A16" s="27" t="inlineStr">
        <is>
          <t>T-4|&gt;22%|BEARISH</t>
        </is>
      </c>
      <c r="B16" s="2" t="inlineStr">
        <is>
          <t>S5 Bear Call Spread</t>
        </is>
      </c>
      <c r="C16" s="28" t="n">
        <v>1</v>
      </c>
      <c r="D16" s="2" t="n">
        <v>3699</v>
      </c>
      <c r="E16" s="2" t="n">
        <v>0.3</v>
      </c>
      <c r="F16" s="2" t="inlineStr">
        <is>
          <t>—</t>
        </is>
      </c>
      <c r="G16" s="2" t="n">
        <v>45</v>
      </c>
      <c r="H16" s="2" t="n">
        <v>1.47</v>
      </c>
      <c r="I16" s="2" t="n">
        <v>0</v>
      </c>
    </row>
    <row r="17">
      <c r="A17" s="29" t="inlineStr">
        <is>
          <t>T-3|&lt;13%|NEUTRAL</t>
        </is>
      </c>
      <c r="B17" s="8" t="inlineStr">
        <is>
          <t>S2 Wide Strangle</t>
        </is>
      </c>
      <c r="C17" s="28" t="n">
        <v>0.886</v>
      </c>
      <c r="D17" s="8" t="n">
        <v>468</v>
      </c>
      <c r="E17" s="8" t="n">
        <v>0.12</v>
      </c>
      <c r="F17" s="8" t="n">
        <v>-0.12</v>
      </c>
      <c r="G17" s="8" t="n">
        <v>17</v>
      </c>
      <c r="H17" s="8" t="n">
        <v>1.29</v>
      </c>
      <c r="I17" s="8" t="n">
        <v>-14590</v>
      </c>
    </row>
    <row r="18">
      <c r="A18" s="27" t="inlineStr">
        <is>
          <t>T-3|&lt;13%|BULLISH</t>
        </is>
      </c>
      <c r="B18" s="2" t="inlineStr">
        <is>
          <t>S5 Bear Call Spread</t>
        </is>
      </c>
      <c r="C18" s="28" t="n">
        <v>0.841</v>
      </c>
      <c r="D18" s="2" t="n">
        <v>752</v>
      </c>
      <c r="E18" s="2" t="n">
        <v>0.3</v>
      </c>
      <c r="F18" s="2" t="inlineStr">
        <is>
          <t>—</t>
        </is>
      </c>
      <c r="G18" s="2" t="n">
        <v>24</v>
      </c>
      <c r="H18" s="2" t="n">
        <v>1.47</v>
      </c>
      <c r="I18" s="2" t="n">
        <v>-5248</v>
      </c>
    </row>
    <row r="19">
      <c r="A19" s="29" t="inlineStr">
        <is>
          <t>T-3|&lt;13%|BEARISH</t>
        </is>
      </c>
      <c r="B19" s="8" t="inlineStr">
        <is>
          <t>S4 Bull Put Spread</t>
        </is>
      </c>
      <c r="C19" s="28" t="n">
        <v>0.841</v>
      </c>
      <c r="D19" s="8" t="n">
        <v>752</v>
      </c>
      <c r="E19" s="8" t="inlineStr">
        <is>
          <t>—</t>
        </is>
      </c>
      <c r="F19" s="8" t="n">
        <v>-0.3</v>
      </c>
      <c r="G19" s="8" t="n">
        <v>24</v>
      </c>
      <c r="H19" s="8" t="n">
        <v>1.35</v>
      </c>
      <c r="I19" s="8" t="n">
        <v>-5248</v>
      </c>
    </row>
    <row r="20">
      <c r="A20" s="27" t="inlineStr">
        <is>
          <t>T-3|13-15%|NEUTRAL</t>
        </is>
      </c>
      <c r="B20" s="2" t="inlineStr">
        <is>
          <t>S4 Bull Put Spread</t>
        </is>
      </c>
      <c r="C20" s="28" t="n">
        <v>0.857</v>
      </c>
      <c r="D20" s="2" t="n">
        <v>510</v>
      </c>
      <c r="E20" s="2" t="inlineStr">
        <is>
          <t>—</t>
        </is>
      </c>
      <c r="F20" s="2" t="n">
        <v>-0.3</v>
      </c>
      <c r="G20" s="2" t="n">
        <v>38</v>
      </c>
      <c r="H20" s="2" t="n">
        <v>1.35</v>
      </c>
      <c r="I20" s="2" t="n">
        <v>-7332</v>
      </c>
    </row>
    <row r="21">
      <c r="A21" s="29" t="inlineStr">
        <is>
          <t>T-3|13-15%|BULLISH</t>
        </is>
      </c>
      <c r="B21" s="8" t="inlineStr">
        <is>
          <t>S4 Bull Put Spread</t>
        </is>
      </c>
      <c r="C21" s="28" t="n">
        <v>0.857</v>
      </c>
      <c r="D21" s="8" t="n">
        <v>510</v>
      </c>
      <c r="E21" s="8" t="inlineStr">
        <is>
          <t>—</t>
        </is>
      </c>
      <c r="F21" s="8" t="n">
        <v>-0.3</v>
      </c>
      <c r="G21" s="8" t="n">
        <v>38</v>
      </c>
      <c r="H21" s="8" t="n">
        <v>1.35</v>
      </c>
      <c r="I21" s="8" t="n">
        <v>-7332</v>
      </c>
    </row>
    <row r="22">
      <c r="A22" s="27" t="inlineStr">
        <is>
          <t>T-3|13-15%|BEARISH</t>
        </is>
      </c>
      <c r="B22" s="2" t="inlineStr">
        <is>
          <t>S1 Short Strangle</t>
        </is>
      </c>
      <c r="C22" s="31" t="n">
        <v>0.571</v>
      </c>
      <c r="D22" s="2" t="n">
        <v>-2189</v>
      </c>
      <c r="E22" s="2" t="n">
        <v>0.17</v>
      </c>
      <c r="F22" s="2" t="n">
        <v>-0.18</v>
      </c>
      <c r="G22" s="2" t="n">
        <v>34</v>
      </c>
      <c r="H22" s="2" t="n">
        <v>1.63</v>
      </c>
      <c r="I22" s="2" t="n">
        <v>-12942</v>
      </c>
    </row>
    <row r="23">
      <c r="A23" s="29" t="inlineStr">
        <is>
          <t>T-3|15-18%|NEUTRAL</t>
        </is>
      </c>
      <c r="B23" s="8" t="inlineStr">
        <is>
          <t>S3 Iron Condor</t>
        </is>
      </c>
      <c r="C23" s="28" t="n">
        <v>0.929</v>
      </c>
      <c r="D23" s="8" t="n">
        <v>246</v>
      </c>
      <c r="E23" s="8" t="n">
        <v>0.07000000000000001</v>
      </c>
      <c r="F23" s="8" t="n">
        <v>-0.07000000000000001</v>
      </c>
      <c r="G23" s="8" t="n">
        <v>22</v>
      </c>
      <c r="H23" s="8" t="n">
        <v>0.93</v>
      </c>
      <c r="I23" s="8" t="n">
        <v>-5491</v>
      </c>
    </row>
    <row r="24">
      <c r="A24" s="27" t="inlineStr">
        <is>
          <t>T-3|15-18%|BULLISH</t>
        </is>
      </c>
      <c r="B24" s="2" t="inlineStr">
        <is>
          <t>S5 Bear Call Spread</t>
        </is>
      </c>
      <c r="C24" s="28" t="n">
        <v>0.929</v>
      </c>
      <c r="D24" s="2" t="n">
        <v>1111</v>
      </c>
      <c r="E24" s="2" t="n">
        <v>0.29</v>
      </c>
      <c r="F24" s="2" t="inlineStr">
        <is>
          <t>—</t>
        </is>
      </c>
      <c r="G24" s="2" t="n">
        <v>44</v>
      </c>
      <c r="H24" s="2" t="n">
        <v>1.47</v>
      </c>
      <c r="I24" s="2" t="n">
        <v>-7855</v>
      </c>
    </row>
    <row r="25">
      <c r="A25" s="29" t="inlineStr">
        <is>
          <t>T-3|15-18%|BEARISH</t>
        </is>
      </c>
      <c r="B25" s="8" t="inlineStr">
        <is>
          <t>S2 Wide Strangle</t>
        </is>
      </c>
      <c r="C25" s="28" t="n">
        <v>0.857</v>
      </c>
      <c r="D25" s="8" t="n">
        <v>1214</v>
      </c>
      <c r="E25" s="8" t="n">
        <v>0.13</v>
      </c>
      <c r="F25" s="8" t="n">
        <v>-0.13</v>
      </c>
      <c r="G25" s="8" t="n">
        <v>31</v>
      </c>
      <c r="H25" s="8" t="n">
        <v>1.29</v>
      </c>
      <c r="I25" s="8" t="n">
        <v>-10617</v>
      </c>
    </row>
    <row r="26">
      <c r="A26" s="27" t="inlineStr">
        <is>
          <t>T-3|18-22%|NEUTRAL</t>
        </is>
      </c>
      <c r="B26" s="2" t="inlineStr">
        <is>
          <t>S3 Iron Condor</t>
        </is>
      </c>
      <c r="C26" s="28" t="n">
        <v>0.833</v>
      </c>
      <c r="D26" s="2" t="n">
        <v>486</v>
      </c>
      <c r="E26" s="2" t="n">
        <v>0.07000000000000001</v>
      </c>
      <c r="F26" s="2" t="n">
        <v>-0.08</v>
      </c>
      <c r="G26" s="2" t="n">
        <v>25</v>
      </c>
      <c r="H26" s="2" t="n">
        <v>0.93</v>
      </c>
      <c r="I26" s="2" t="n">
        <v>-1917</v>
      </c>
    </row>
    <row r="27">
      <c r="A27" s="29" t="inlineStr">
        <is>
          <t>T-3|18-22%|BULLISH</t>
        </is>
      </c>
      <c r="B27" s="8" t="inlineStr">
        <is>
          <t>S4 Bull Put Spread</t>
        </is>
      </c>
      <c r="C27" s="28" t="n">
        <v>1</v>
      </c>
      <c r="D27" s="8" t="n">
        <v>2564</v>
      </c>
      <c r="E27" s="8" t="inlineStr">
        <is>
          <t>—</t>
        </is>
      </c>
      <c r="F27" s="8" t="n">
        <v>-0.29</v>
      </c>
      <c r="G27" s="8" t="n">
        <v>48</v>
      </c>
      <c r="H27" s="8" t="n">
        <v>1.35</v>
      </c>
      <c r="I27" s="8" t="n">
        <v>0</v>
      </c>
    </row>
    <row r="28">
      <c r="A28" s="27" t="inlineStr">
        <is>
          <t>T-3|18-22%|BEARISH</t>
        </is>
      </c>
      <c r="B28" s="2" t="inlineStr">
        <is>
          <t>S2 Wide Strangle</t>
        </is>
      </c>
      <c r="C28" s="28" t="n">
        <v>0.833</v>
      </c>
      <c r="D28" s="2" t="n">
        <v>1409</v>
      </c>
      <c r="E28" s="2" t="n">
        <v>0.12</v>
      </c>
      <c r="F28" s="2" t="n">
        <v>-0.12</v>
      </c>
      <c r="G28" s="2" t="n">
        <v>35</v>
      </c>
      <c r="H28" s="2" t="n">
        <v>1.29</v>
      </c>
      <c r="I28" s="2" t="n">
        <v>-6347</v>
      </c>
    </row>
    <row r="29">
      <c r="A29" s="29" t="inlineStr">
        <is>
          <t>T-3|&gt;22%|NEUTRAL</t>
        </is>
      </c>
      <c r="B29" s="8" t="inlineStr">
        <is>
          <t>S1 Short Strangle</t>
        </is>
      </c>
      <c r="C29" s="28" t="n">
        <v>0.833</v>
      </c>
      <c r="D29" s="8" t="n">
        <v>528</v>
      </c>
      <c r="E29" s="8" t="n">
        <v>0.17</v>
      </c>
      <c r="F29" s="8" t="n">
        <v>-0.18</v>
      </c>
      <c r="G29" s="8" t="n">
        <v>58</v>
      </c>
      <c r="H29" s="8" t="n">
        <v>1.63</v>
      </c>
      <c r="I29" s="8" t="n">
        <v>-31978</v>
      </c>
    </row>
    <row r="30">
      <c r="A30" s="27" t="inlineStr">
        <is>
          <t>T-3|&gt;22%|BULLISH</t>
        </is>
      </c>
      <c r="B30" s="2" t="inlineStr">
        <is>
          <t>S4 Bull Put Spread</t>
        </is>
      </c>
      <c r="C30" s="28" t="n">
        <v>1</v>
      </c>
      <c r="D30" s="2" t="n">
        <v>3974</v>
      </c>
      <c r="E30" s="2" t="inlineStr">
        <is>
          <t>—</t>
        </is>
      </c>
      <c r="F30" s="2" t="n">
        <v>-0.3</v>
      </c>
      <c r="G30" s="2" t="n">
        <v>71</v>
      </c>
      <c r="H30" s="2" t="n">
        <v>1.35</v>
      </c>
      <c r="I30" s="2" t="n">
        <v>0</v>
      </c>
    </row>
    <row r="31">
      <c r="A31" s="29" t="inlineStr">
        <is>
          <t>T-3|&gt;22%|BEARISH</t>
        </is>
      </c>
      <c r="B31" s="8" t="inlineStr">
        <is>
          <t>S1 Short Strangle</t>
        </is>
      </c>
      <c r="C31" s="28" t="n">
        <v>0.833</v>
      </c>
      <c r="D31" s="8" t="n">
        <v>528</v>
      </c>
      <c r="E31" s="8" t="n">
        <v>0.17</v>
      </c>
      <c r="F31" s="8" t="n">
        <v>-0.18</v>
      </c>
      <c r="G31" s="8" t="n">
        <v>58</v>
      </c>
      <c r="H31" s="8" t="n">
        <v>1.63</v>
      </c>
      <c r="I31" s="8" t="n">
        <v>-31978</v>
      </c>
    </row>
    <row r="32">
      <c r="A32" s="27" t="inlineStr">
        <is>
          <t>T-2|&lt;13%|NEUTRAL</t>
        </is>
      </c>
      <c r="B32" s="2" t="inlineStr">
        <is>
          <t>S3 Iron Condor</t>
        </is>
      </c>
      <c r="C32" s="28" t="n">
        <v>0.952</v>
      </c>
      <c r="D32" s="2" t="n">
        <v>80</v>
      </c>
      <c r="E32" s="2" t="n">
        <v>0.07000000000000001</v>
      </c>
      <c r="F32" s="2" t="n">
        <v>-0.07000000000000001</v>
      </c>
      <c r="G32" s="2" t="n">
        <v>25</v>
      </c>
      <c r="H32" s="2" t="n">
        <v>0.93</v>
      </c>
      <c r="I32" s="2" t="n">
        <v>-6071</v>
      </c>
    </row>
    <row r="33">
      <c r="A33" s="29" t="inlineStr">
        <is>
          <t>T-2|&lt;13%|BULLISH</t>
        </is>
      </c>
      <c r="B33" s="8" t="inlineStr">
        <is>
          <t>S5 Bear Call Spread</t>
        </is>
      </c>
      <c r="C33" s="28" t="n">
        <v>0.865</v>
      </c>
      <c r="D33" s="8" t="n">
        <v>634</v>
      </c>
      <c r="E33" s="8" t="n">
        <v>0.3</v>
      </c>
      <c r="F33" s="8" t="inlineStr">
        <is>
          <t>—</t>
        </is>
      </c>
      <c r="G33" s="8" t="n">
        <v>45</v>
      </c>
      <c r="H33" s="8" t="n">
        <v>1.47</v>
      </c>
      <c r="I33" s="8" t="n">
        <v>-5670</v>
      </c>
    </row>
    <row r="34">
      <c r="A34" s="27" t="inlineStr">
        <is>
          <t>T-2|&lt;13%|BEARISH</t>
        </is>
      </c>
      <c r="B34" s="2" t="inlineStr">
        <is>
          <t>S2 Wide Strangle</t>
        </is>
      </c>
      <c r="C34" s="28" t="n">
        <v>0.921</v>
      </c>
      <c r="D34" s="2" t="n">
        <v>419</v>
      </c>
      <c r="E34" s="2" t="n">
        <v>0.12</v>
      </c>
      <c r="F34" s="2" t="n">
        <v>-0.12</v>
      </c>
      <c r="G34" s="2" t="n">
        <v>33</v>
      </c>
      <c r="H34" s="2" t="n">
        <v>1.29</v>
      </c>
      <c r="I34" s="2" t="n">
        <v>-21213</v>
      </c>
    </row>
    <row r="35">
      <c r="A35" s="29" t="inlineStr">
        <is>
          <t>T-2|13-15%|NEUTRAL</t>
        </is>
      </c>
      <c r="B35" s="8" t="inlineStr">
        <is>
          <t>S2 Wide Strangle</t>
        </is>
      </c>
      <c r="C35" s="28" t="n">
        <v>0.917</v>
      </c>
      <c r="D35" s="8" t="n">
        <v>859</v>
      </c>
      <c r="E35" s="8" t="n">
        <v>0.13</v>
      </c>
      <c r="F35" s="8" t="n">
        <v>-0.12</v>
      </c>
      <c r="G35" s="8" t="n">
        <v>44</v>
      </c>
      <c r="H35" s="8" t="n">
        <v>1.29</v>
      </c>
      <c r="I35" s="8" t="n">
        <v>-7368</v>
      </c>
    </row>
    <row r="36">
      <c r="A36" s="27" t="inlineStr">
        <is>
          <t>T-2|13-15%|BULLISH</t>
        </is>
      </c>
      <c r="B36" s="2" t="inlineStr">
        <is>
          <t>S5 Bear Call Spread</t>
        </is>
      </c>
      <c r="C36" s="28" t="n">
        <v>1</v>
      </c>
      <c r="D36" s="2" t="n">
        <v>1106</v>
      </c>
      <c r="E36" s="2" t="n">
        <v>0.28</v>
      </c>
      <c r="F36" s="2" t="inlineStr">
        <is>
          <t>—</t>
        </is>
      </c>
      <c r="G36" s="2" t="n">
        <v>58</v>
      </c>
      <c r="H36" s="2" t="n">
        <v>1.47</v>
      </c>
      <c r="I36" s="2" t="n">
        <v>0</v>
      </c>
    </row>
    <row r="37">
      <c r="A37" s="29" t="inlineStr">
        <is>
          <t>T-2|13-15%|BEARISH</t>
        </is>
      </c>
      <c r="B37" s="8" t="inlineStr">
        <is>
          <t>S2 Wide Strangle</t>
        </is>
      </c>
      <c r="C37" s="28" t="n">
        <v>0.917</v>
      </c>
      <c r="D37" s="8" t="n">
        <v>859</v>
      </c>
      <c r="E37" s="8" t="n">
        <v>0.13</v>
      </c>
      <c r="F37" s="8" t="n">
        <v>-0.12</v>
      </c>
      <c r="G37" s="8" t="n">
        <v>44</v>
      </c>
      <c r="H37" s="8" t="n">
        <v>1.29</v>
      </c>
      <c r="I37" s="8" t="n">
        <v>-7368</v>
      </c>
    </row>
    <row r="38">
      <c r="A38" s="27" t="inlineStr">
        <is>
          <t>T-2|15-18%|NEUTRAL</t>
        </is>
      </c>
      <c r="B38" s="2" t="inlineStr">
        <is>
          <t>S4 Bull Put Spread</t>
        </is>
      </c>
      <c r="C38" s="28" t="n">
        <v>0.857</v>
      </c>
      <c r="D38" s="2" t="n">
        <v>168</v>
      </c>
      <c r="E38" s="2" t="inlineStr">
        <is>
          <t>—</t>
        </is>
      </c>
      <c r="F38" s="2" t="n">
        <v>-0.3</v>
      </c>
      <c r="G38" s="2" t="n">
        <v>61</v>
      </c>
      <c r="H38" s="2" t="n">
        <v>1.35</v>
      </c>
      <c r="I38" s="2" t="n">
        <v>-8263</v>
      </c>
    </row>
    <row r="39">
      <c r="A39" s="29" t="inlineStr">
        <is>
          <t>T-2|15-18%|BULLISH</t>
        </is>
      </c>
      <c r="B39" s="8" t="inlineStr">
        <is>
          <t>S4 Bull Put Spread</t>
        </is>
      </c>
      <c r="C39" s="28" t="n">
        <v>0.857</v>
      </c>
      <c r="D39" s="8" t="n">
        <v>168</v>
      </c>
      <c r="E39" s="8" t="inlineStr">
        <is>
          <t>—</t>
        </is>
      </c>
      <c r="F39" s="8" t="n">
        <v>-0.3</v>
      </c>
      <c r="G39" s="8" t="n">
        <v>61</v>
      </c>
      <c r="H39" s="8" t="n">
        <v>1.35</v>
      </c>
      <c r="I39" s="8" t="n">
        <v>-8263</v>
      </c>
    </row>
    <row r="40">
      <c r="A40" s="27" t="inlineStr">
        <is>
          <t>T-2|15-18%|BEARISH</t>
        </is>
      </c>
      <c r="B40" s="2" t="inlineStr">
        <is>
          <t>S3 Iron Condor</t>
        </is>
      </c>
      <c r="C40" s="30" t="n">
        <v>0.786</v>
      </c>
      <c r="D40" s="2" t="n">
        <v>-486</v>
      </c>
      <c r="E40" s="2" t="n">
        <v>0.07000000000000001</v>
      </c>
      <c r="F40" s="2" t="n">
        <v>-0.08</v>
      </c>
      <c r="G40" s="2" t="n">
        <v>33</v>
      </c>
      <c r="H40" s="2" t="n">
        <v>0.93</v>
      </c>
      <c r="I40" s="2" t="n">
        <v>-9296</v>
      </c>
    </row>
    <row r="41">
      <c r="A41" s="29" t="inlineStr">
        <is>
          <t>T-2|18-22%|NEUTRAL</t>
        </is>
      </c>
      <c r="B41" s="8" t="inlineStr">
        <is>
          <t>S1 Short Strangle</t>
        </is>
      </c>
      <c r="C41" s="28" t="n">
        <v>0.857</v>
      </c>
      <c r="D41" s="8" t="n">
        <v>3453</v>
      </c>
      <c r="E41" s="8" t="n">
        <v>0.17</v>
      </c>
      <c r="F41" s="8" t="n">
        <v>-0.17</v>
      </c>
      <c r="G41" s="8" t="n">
        <v>101</v>
      </c>
      <c r="H41" s="8" t="n">
        <v>1.27</v>
      </c>
      <c r="I41" s="8" t="n">
        <v>-5892</v>
      </c>
    </row>
    <row r="42">
      <c r="A42" s="27" t="inlineStr">
        <is>
          <t>T-2|18-22%|BULLISH</t>
        </is>
      </c>
      <c r="B42" s="2" t="inlineStr">
        <is>
          <t>S1 Short Strangle</t>
        </is>
      </c>
      <c r="C42" s="28" t="n">
        <v>0.857</v>
      </c>
      <c r="D42" s="2" t="n">
        <v>3453</v>
      </c>
      <c r="E42" s="2" t="n">
        <v>0.17</v>
      </c>
      <c r="F42" s="2" t="n">
        <v>-0.17</v>
      </c>
      <c r="G42" s="2" t="n">
        <v>101</v>
      </c>
      <c r="H42" s="2" t="n">
        <v>1.27</v>
      </c>
      <c r="I42" s="2" t="n">
        <v>-5892</v>
      </c>
    </row>
    <row r="43">
      <c r="A43" s="29" t="inlineStr">
        <is>
          <t>T-2|18-22%|BEARISH</t>
        </is>
      </c>
      <c r="B43" s="8" t="inlineStr">
        <is>
          <t>S2 Wide Strangle</t>
        </is>
      </c>
      <c r="C43" s="28" t="n">
        <v>0.857</v>
      </c>
      <c r="D43" s="8" t="n">
        <v>2362</v>
      </c>
      <c r="E43" s="8" t="n">
        <v>0.12</v>
      </c>
      <c r="F43" s="8" t="n">
        <v>-0.12</v>
      </c>
      <c r="G43" s="8" t="n">
        <v>82</v>
      </c>
      <c r="H43" s="8" t="n">
        <v>1.29</v>
      </c>
      <c r="I43" s="8" t="n">
        <v>-3690</v>
      </c>
    </row>
    <row r="44">
      <c r="A44" s="27" t="inlineStr">
        <is>
          <t>T-2|&gt;22%|NEUTRAL</t>
        </is>
      </c>
      <c r="B44" s="2" t="inlineStr">
        <is>
          <t>S1 Short Strangle</t>
        </is>
      </c>
      <c r="C44" s="28" t="n">
        <v>0.857</v>
      </c>
      <c r="D44" s="2" t="n">
        <v>3453</v>
      </c>
      <c r="E44" s="2" t="n">
        <v>0.17</v>
      </c>
      <c r="F44" s="2" t="n">
        <v>-0.17</v>
      </c>
      <c r="G44" s="2" t="n">
        <v>101</v>
      </c>
      <c r="H44" s="2" t="n">
        <v>1.27</v>
      </c>
      <c r="I44" s="2" t="n">
        <v>-5892</v>
      </c>
    </row>
    <row r="45">
      <c r="A45" s="29" t="inlineStr">
        <is>
          <t>T-2|&gt;22%|BULLISH</t>
        </is>
      </c>
      <c r="B45" s="8" t="inlineStr">
        <is>
          <t>S4 Bull Put Spread</t>
        </is>
      </c>
      <c r="C45" s="28" t="n">
        <v>1</v>
      </c>
      <c r="D45" s="8" t="n">
        <v>2706</v>
      </c>
      <c r="E45" s="8" t="inlineStr">
        <is>
          <t>—</t>
        </is>
      </c>
      <c r="F45" s="8" t="n">
        <v>-0.29</v>
      </c>
      <c r="G45" s="8" t="n">
        <v>119</v>
      </c>
      <c r="H45" s="8" t="n">
        <v>1.35</v>
      </c>
      <c r="I45" s="8" t="n">
        <v>0</v>
      </c>
    </row>
    <row r="46">
      <c r="A46" s="27" t="inlineStr">
        <is>
          <t>T-2|&gt;22%|BEARISH</t>
        </is>
      </c>
      <c r="B46" s="2" t="inlineStr">
        <is>
          <t>S5 Bear Call Spread</t>
        </is>
      </c>
      <c r="C46" s="31" t="n">
        <v>0.429</v>
      </c>
      <c r="D46" s="2" t="n">
        <v>-1253</v>
      </c>
      <c r="E46" s="2" t="n">
        <v>0.3</v>
      </c>
      <c r="F46" s="2" t="inlineStr">
        <is>
          <t>—</t>
        </is>
      </c>
      <c r="G46" s="2" t="n">
        <v>105</v>
      </c>
      <c r="H46" s="2" t="n">
        <v>1.47</v>
      </c>
      <c r="I46" s="2" t="n">
        <v>-7118</v>
      </c>
    </row>
    <row r="47">
      <c r="A47" s="29" t="inlineStr">
        <is>
          <t>T-1|&lt;13%|NEUTRAL</t>
        </is>
      </c>
      <c r="B47" s="8" t="inlineStr">
        <is>
          <t>S3 Iron Condor (ONLY)</t>
        </is>
      </c>
      <c r="C47" s="28" t="n">
        <v>0.8</v>
      </c>
      <c r="D47" s="8" t="n">
        <v>150</v>
      </c>
      <c r="E47" s="8" t="n">
        <v>0.07000000000000001</v>
      </c>
      <c r="F47" s="8" t="n">
        <v>-0.07000000000000001</v>
      </c>
      <c r="G47" s="8" t="n">
        <v>30</v>
      </c>
      <c r="H47" s="8" t="n">
        <v>1.61</v>
      </c>
      <c r="I47" s="8" t="n">
        <v>-3500</v>
      </c>
    </row>
    <row r="48">
      <c r="A48" s="27" t="inlineStr">
        <is>
          <t>T-1|&lt;13%|BULLISH</t>
        </is>
      </c>
      <c r="B48" s="2" t="inlineStr">
        <is>
          <t>S3 Iron Condor (ONLY)</t>
        </is>
      </c>
      <c r="C48" s="30" t="n">
        <v>0.75</v>
      </c>
      <c r="D48" s="2" t="n">
        <v>120</v>
      </c>
      <c r="E48" s="2" t="n">
        <v>0.07000000000000001</v>
      </c>
      <c r="F48" s="2" t="n">
        <v>-0.07000000000000001</v>
      </c>
      <c r="G48" s="2" t="n">
        <v>28</v>
      </c>
      <c r="H48" s="2" t="n">
        <v>1.61</v>
      </c>
      <c r="I48" s="2" t="n">
        <v>-3500</v>
      </c>
    </row>
    <row r="49">
      <c r="A49" s="29" t="inlineStr">
        <is>
          <t>T-1|&lt;13%|BEARISH</t>
        </is>
      </c>
      <c r="B49" s="8" t="inlineStr">
        <is>
          <t>S3 Iron Condor (ONLY)</t>
        </is>
      </c>
      <c r="C49" s="30" t="n">
        <v>0.75</v>
      </c>
      <c r="D49" s="8" t="n">
        <v>120</v>
      </c>
      <c r="E49" s="8" t="n">
        <v>0.07000000000000001</v>
      </c>
      <c r="F49" s="8" t="n">
        <v>-0.07000000000000001</v>
      </c>
      <c r="G49" s="8" t="n">
        <v>28</v>
      </c>
      <c r="H49" s="8" t="n">
        <v>1.61</v>
      </c>
      <c r="I49" s="8" t="n">
        <v>-3500</v>
      </c>
    </row>
    <row r="50">
      <c r="A50" s="27" t="inlineStr">
        <is>
          <t>T-1|13-15%|NEUTRAL</t>
        </is>
      </c>
      <c r="B50" s="2" t="inlineStr">
        <is>
          <t>S3 Iron Condor (ONLY)</t>
        </is>
      </c>
      <c r="C50" s="30" t="n">
        <v>0.78</v>
      </c>
      <c r="D50" s="2" t="n">
        <v>100</v>
      </c>
      <c r="E50" s="2" t="n">
        <v>0.07000000000000001</v>
      </c>
      <c r="F50" s="2" t="n">
        <v>-0.07000000000000001</v>
      </c>
      <c r="G50" s="2" t="n">
        <v>35</v>
      </c>
      <c r="H50" s="2" t="n">
        <v>1.61</v>
      </c>
      <c r="I50" s="2" t="n">
        <v>-4000</v>
      </c>
    </row>
    <row r="51">
      <c r="A51" s="29" t="inlineStr">
        <is>
          <t>T-1|13-15%|BULLISH</t>
        </is>
      </c>
      <c r="B51" s="8" t="inlineStr">
        <is>
          <t>S3 Iron Condor (ONLY)</t>
        </is>
      </c>
      <c r="C51" s="30" t="n">
        <v>0.75</v>
      </c>
      <c r="D51" s="8" t="n">
        <v>90</v>
      </c>
      <c r="E51" s="8" t="n">
        <v>0.07000000000000001</v>
      </c>
      <c r="F51" s="8" t="n">
        <v>-0.07000000000000001</v>
      </c>
      <c r="G51" s="8" t="n">
        <v>33</v>
      </c>
      <c r="H51" s="8" t="n">
        <v>1.61</v>
      </c>
      <c r="I51" s="8" t="n">
        <v>-4000</v>
      </c>
    </row>
    <row r="52">
      <c r="A52" s="27" t="inlineStr">
        <is>
          <t>T-1|13-15%|BEARISH</t>
        </is>
      </c>
      <c r="B52" s="2" t="inlineStr">
        <is>
          <t>S3 Iron Condor (ONLY)</t>
        </is>
      </c>
      <c r="C52" s="30" t="n">
        <v>0.75</v>
      </c>
      <c r="D52" s="2" t="n">
        <v>90</v>
      </c>
      <c r="E52" s="2" t="n">
        <v>0.07000000000000001</v>
      </c>
      <c r="F52" s="2" t="n">
        <v>-0.07000000000000001</v>
      </c>
      <c r="G52" s="2" t="n">
        <v>33</v>
      </c>
      <c r="H52" s="2" t="n">
        <v>1.61</v>
      </c>
      <c r="I52" s="2" t="n">
        <v>-4000</v>
      </c>
    </row>
    <row r="53">
      <c r="A53" s="29" t="inlineStr">
        <is>
          <t>T-1|15-18%|NEUTRAL</t>
        </is>
      </c>
      <c r="B53" s="8" t="inlineStr">
        <is>
          <t>S3 Iron Condor (ONLY)</t>
        </is>
      </c>
      <c r="C53" s="30" t="n">
        <v>0.76</v>
      </c>
      <c r="D53" s="8" t="n">
        <v>80</v>
      </c>
      <c r="E53" s="8" t="n">
        <v>0.07000000000000001</v>
      </c>
      <c r="F53" s="8" t="n">
        <v>-0.07000000000000001</v>
      </c>
      <c r="G53" s="8" t="n">
        <v>40</v>
      </c>
      <c r="H53" s="8" t="n">
        <v>1.61</v>
      </c>
      <c r="I53" s="8" t="n">
        <v>-5000</v>
      </c>
    </row>
    <row r="54">
      <c r="A54" s="27" t="inlineStr">
        <is>
          <t>T-1|15-18%|BULLISH</t>
        </is>
      </c>
      <c r="B54" s="2" t="inlineStr">
        <is>
          <t>S3 Iron Condor (ONLY)</t>
        </is>
      </c>
      <c r="C54" s="30" t="n">
        <v>0.72</v>
      </c>
      <c r="D54" s="2" t="n">
        <v>70</v>
      </c>
      <c r="E54" s="2" t="n">
        <v>0.07000000000000001</v>
      </c>
      <c r="F54" s="2" t="n">
        <v>-0.07000000000000001</v>
      </c>
      <c r="G54" s="2" t="n">
        <v>38</v>
      </c>
      <c r="H54" s="2" t="n">
        <v>1.61</v>
      </c>
      <c r="I54" s="2" t="n">
        <v>-5000</v>
      </c>
    </row>
    <row r="55">
      <c r="A55" s="29" t="inlineStr">
        <is>
          <t>T-1|15-18%|BEARISH</t>
        </is>
      </c>
      <c r="B55" s="8" t="inlineStr">
        <is>
          <t>S3 Iron Condor (ONLY)</t>
        </is>
      </c>
      <c r="C55" s="30" t="n">
        <v>0.72</v>
      </c>
      <c r="D55" s="8" t="n">
        <v>70</v>
      </c>
      <c r="E55" s="8" t="n">
        <v>0.07000000000000001</v>
      </c>
      <c r="F55" s="8" t="n">
        <v>-0.07000000000000001</v>
      </c>
      <c r="G55" s="8" t="n">
        <v>38</v>
      </c>
      <c r="H55" s="8" t="n">
        <v>1.61</v>
      </c>
      <c r="I55" s="8" t="n">
        <v>-5000</v>
      </c>
    </row>
    <row r="56">
      <c r="A56" s="27" t="inlineStr">
        <is>
          <t>T-1|18-22%|NEUTRAL</t>
        </is>
      </c>
      <c r="B56" s="2" t="inlineStr">
        <is>
          <t>S3 Iron Condor (ONLY)</t>
        </is>
      </c>
      <c r="C56" s="30" t="n">
        <v>0.74</v>
      </c>
      <c r="D56" s="2" t="n">
        <v>60</v>
      </c>
      <c r="E56" s="2" t="n">
        <v>0.07000000000000001</v>
      </c>
      <c r="F56" s="2" t="n">
        <v>-0.07000000000000001</v>
      </c>
      <c r="G56" s="2" t="n">
        <v>45</v>
      </c>
      <c r="H56" s="2" t="n">
        <v>1.61</v>
      </c>
      <c r="I56" s="2" t="n">
        <v>-6000</v>
      </c>
    </row>
    <row r="57">
      <c r="A57" s="29" t="inlineStr">
        <is>
          <t>T-1|18-22%|BULLISH</t>
        </is>
      </c>
      <c r="B57" s="8" t="inlineStr">
        <is>
          <t>S3 Iron Condor (ONLY)</t>
        </is>
      </c>
      <c r="C57" s="30" t="n">
        <v>0.7</v>
      </c>
      <c r="D57" s="8" t="n">
        <v>50</v>
      </c>
      <c r="E57" s="8" t="n">
        <v>0.07000000000000001</v>
      </c>
      <c r="F57" s="8" t="n">
        <v>-0.07000000000000001</v>
      </c>
      <c r="G57" s="8" t="n">
        <v>43</v>
      </c>
      <c r="H57" s="8" t="n">
        <v>1.61</v>
      </c>
      <c r="I57" s="8" t="n">
        <v>-6000</v>
      </c>
    </row>
    <row r="58">
      <c r="A58" s="27" t="inlineStr">
        <is>
          <t>T-1|18-22%|BEARISH</t>
        </is>
      </c>
      <c r="B58" s="2" t="inlineStr">
        <is>
          <t>S3 Iron Condor (ONLY)</t>
        </is>
      </c>
      <c r="C58" s="30" t="n">
        <v>0.7</v>
      </c>
      <c r="D58" s="2" t="n">
        <v>50</v>
      </c>
      <c r="E58" s="2" t="n">
        <v>0.07000000000000001</v>
      </c>
      <c r="F58" s="2" t="n">
        <v>-0.07000000000000001</v>
      </c>
      <c r="G58" s="2" t="n">
        <v>43</v>
      </c>
      <c r="H58" s="2" t="n">
        <v>1.61</v>
      </c>
      <c r="I58" s="2" t="n">
        <v>-6000</v>
      </c>
    </row>
    <row r="59">
      <c r="A59" s="29" t="inlineStr">
        <is>
          <t>T-1|&gt;22%|NEUTRAL</t>
        </is>
      </c>
      <c r="B59" s="8" t="inlineStr">
        <is>
          <t>S3 Iron Condor (ONLY)</t>
        </is>
      </c>
      <c r="C59" s="30" t="n">
        <v>0.72</v>
      </c>
      <c r="D59" s="8" t="n">
        <v>40</v>
      </c>
      <c r="E59" s="8" t="n">
        <v>0.07000000000000001</v>
      </c>
      <c r="F59" s="8" t="n">
        <v>-0.07000000000000001</v>
      </c>
      <c r="G59" s="8" t="n">
        <v>55</v>
      </c>
      <c r="H59" s="8" t="n">
        <v>1.61</v>
      </c>
      <c r="I59" s="8" t="n">
        <v>-7000</v>
      </c>
    </row>
    <row r="60">
      <c r="A60" s="27" t="inlineStr">
        <is>
          <t>T-1|&gt;22%|BULLISH</t>
        </is>
      </c>
      <c r="B60" s="2" t="inlineStr">
        <is>
          <t>S3 Iron Condor (ONLY)</t>
        </is>
      </c>
      <c r="C60" s="30" t="n">
        <v>0.68</v>
      </c>
      <c r="D60" s="2" t="n">
        <v>30</v>
      </c>
      <c r="E60" s="2" t="n">
        <v>0.07000000000000001</v>
      </c>
      <c r="F60" s="2" t="n">
        <v>-0.07000000000000001</v>
      </c>
      <c r="G60" s="2" t="n">
        <v>53</v>
      </c>
      <c r="H60" s="2" t="n">
        <v>1.61</v>
      </c>
      <c r="I60" s="2" t="n">
        <v>-7000</v>
      </c>
    </row>
    <row r="61">
      <c r="A61" s="29" t="inlineStr">
        <is>
          <t>T-1|&gt;22%|BEARISH</t>
        </is>
      </c>
      <c r="B61" s="8" t="inlineStr">
        <is>
          <t>S3 Iron Condor (ONLY)</t>
        </is>
      </c>
      <c r="C61" s="30" t="n">
        <v>0.68</v>
      </c>
      <c r="D61" s="8" t="n">
        <v>30</v>
      </c>
      <c r="E61" s="8" t="n">
        <v>0.07000000000000001</v>
      </c>
      <c r="F61" s="8" t="n">
        <v>-0.07000000000000001</v>
      </c>
      <c r="G61" s="8" t="n">
        <v>53</v>
      </c>
      <c r="H61" s="8" t="n">
        <v>1.61</v>
      </c>
      <c r="I61" s="8" t="n">
        <v>-7000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</cols>
  <sheetData>
    <row r="1">
      <c r="A1" s="6" t="inlineStr">
        <is>
          <t>DTE</t>
        </is>
      </c>
      <c r="B1" s="6" t="inlineStr">
        <is>
          <t>Max Gamma</t>
        </is>
      </c>
      <c r="C1" s="6" t="inlineStr">
        <is>
          <t>Exit Rule</t>
        </is>
      </c>
    </row>
    <row r="2">
      <c r="A2" s="2" t="inlineStr">
        <is>
          <t>T-4</t>
        </is>
      </c>
      <c r="B2" s="2" t="n">
        <v>0.0015</v>
      </c>
      <c r="C2" s="2" t="inlineStr">
        <is>
          <t>Roll if gamma exceeds 0.0018 at any point</t>
        </is>
      </c>
    </row>
    <row r="3">
      <c r="A3" s="8" t="inlineStr">
        <is>
          <t>T-3</t>
        </is>
      </c>
      <c r="B3" s="8" t="n">
        <v>0.0022</v>
      </c>
      <c r="C3" s="8" t="inlineStr">
        <is>
          <t>Roll if gamma exceeds 0.0028 intraday</t>
        </is>
      </c>
    </row>
    <row r="4">
      <c r="A4" s="2" t="inlineStr">
        <is>
          <t>T-2</t>
        </is>
      </c>
      <c r="B4" s="2" t="n">
        <v>0.0035</v>
      </c>
      <c r="C4" s="2" t="inlineStr">
        <is>
          <t>Exit if gamma exceeds 0.0040 — no exceptions</t>
        </is>
      </c>
    </row>
    <row r="5">
      <c r="A5" s="8" t="inlineStr">
        <is>
          <t>T-1</t>
        </is>
      </c>
      <c r="B5" s="8" t="n">
        <v>0.0055</v>
      </c>
      <c r="C5" s="8" t="inlineStr">
        <is>
          <t>Exit immediately if &gt; 0.0060 or spot within 0.5% of short strike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2026-04-08T19:34:28Z</dcterms:created>
  <dcterms:modified xmlns:dcterms="http://purl.org/dc/terms/" xmlns:xsi="http://www.w3.org/2001/XMLSchema-instance" xsi:type="dcterms:W3CDTF">2026-04-08T19:34:28Z</dcterms:modified>
</cp:coreProperties>
</file>